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tenPostin\Downloads\"/>
    </mc:Choice>
  </mc:AlternateContent>
  <xr:revisionPtr revIDLastSave="0" documentId="8_{B9A0DC08-6468-414A-9EA5-22379BB3A9F5}" xr6:coauthVersionLast="47" xr6:coauthVersionMax="47" xr10:uidLastSave="{00000000-0000-0000-0000-000000000000}"/>
  <bookViews>
    <workbookView xWindow="-120" yWindow="-120" windowWidth="29040" windowHeight="15720" xr2:uid="{2500583E-6AF8-4793-8F4A-E8C4A3059CCF}"/>
  </bookViews>
  <sheets>
    <sheet name="CZ  Low" sheetId="1" r:id="rId1"/>
    <sheet name="CZ High" sheetId="2" r:id="rId2"/>
    <sheet name="CN Low" sheetId="3" r:id="rId3"/>
    <sheet name="CN High" sheetId="4" r:id="rId4"/>
    <sheet name="SX Low" sheetId="5" r:id="rId5"/>
    <sheet name="SX High" sheetId="6" r:id="rId6"/>
    <sheet name="SN Low" sheetId="7" r:id="rId7"/>
    <sheet name="SN High" sheetId="8" r:id="rId8"/>
    <sheet name="HL Price Snapshot" sheetId="9" r:id="rId9"/>
  </sheets>
  <externalReferences>
    <externalReference r:id="rId10"/>
    <externalReference r:id="rId11"/>
  </externalReferences>
  <definedNames>
    <definedName name="_Key1" localSheetId="3" hidden="1">'CN High'!#REF!</definedName>
    <definedName name="_Key1" localSheetId="2" hidden="1">'CN Low'!#REF!</definedName>
    <definedName name="_Key1" localSheetId="0" hidden="1">'CZ  Low'!#REF!</definedName>
    <definedName name="_Key1" localSheetId="1" hidden="1">'CZ High'!#REF!</definedName>
    <definedName name="_Key1" localSheetId="7" hidden="1">'SN High'!$F$69</definedName>
    <definedName name="_Key1" localSheetId="6" hidden="1">'SN Low'!$G$80</definedName>
    <definedName name="_Key1" localSheetId="5" hidden="1">'SX High'!#REF!</definedName>
    <definedName name="_Key1" localSheetId="4" hidden="1">'SX Low'!#REF!</definedName>
    <definedName name="_Key2" localSheetId="3" hidden="1">'CN High'!#REF!</definedName>
    <definedName name="_Key2" localSheetId="2" hidden="1">'CN Low'!#REF!</definedName>
    <definedName name="_Order1" localSheetId="3" hidden="1">0</definedName>
    <definedName name="_Order1" localSheetId="2" hidden="1">0</definedName>
    <definedName name="_Order1" localSheetId="0" hidden="1">0</definedName>
    <definedName name="_Order1" localSheetId="1" hidden="1">0</definedName>
    <definedName name="_Order1" localSheetId="7" hidden="1">0</definedName>
    <definedName name="_Order1" localSheetId="6" hidden="1">0</definedName>
    <definedName name="_Order1" localSheetId="5" hidden="1">0</definedName>
    <definedName name="_Order1" localSheetId="4" hidden="1">0</definedName>
    <definedName name="_Order2" localSheetId="3" hidden="1">0</definedName>
    <definedName name="_Order2" localSheetId="2" hidden="1">0</definedName>
    <definedName name="_Sort" localSheetId="3" hidden="1">'CN High'!$B$27:$O$44</definedName>
    <definedName name="_Sort" localSheetId="2" hidden="1">'CN Low'!$B$28:$N$48</definedName>
    <definedName name="_Sort" localSheetId="0" hidden="1">'CZ  Low'!$B$12:$N$55</definedName>
    <definedName name="_Sort" localSheetId="1" hidden="1">'CZ High'!$B$12:$N$56</definedName>
    <definedName name="_Sort" localSheetId="7" hidden="1">'SN High'!$A$82:$N$87</definedName>
    <definedName name="_Sort" localSheetId="6" hidden="1">'SN Low'!$B$80:$O$85</definedName>
    <definedName name="_Sort" localSheetId="5" hidden="1">'SX High'!$A$17:$J$39</definedName>
    <definedName name="_Sort" localSheetId="4" hidden="1">'SX Low'!$A$11:$N$37</definedName>
    <definedName name="CHANGE1" localSheetId="7">'SN High'!#REF!</definedName>
    <definedName name="CHANGE1" localSheetId="6">'SN Low'!#REF!</definedName>
    <definedName name="CHANGE1">#REF!</definedName>
    <definedName name="CHANGE2" localSheetId="7">'SN High'!#REF!</definedName>
    <definedName name="CHANGE2" localSheetId="6">'SN Low'!#REF!</definedName>
    <definedName name="CHANGE2">#REF!</definedName>
    <definedName name="CHANGE3" localSheetId="7">'SN High'!#REF!</definedName>
    <definedName name="CHANGE3" localSheetId="6">'SN Low'!#REF!</definedName>
    <definedName name="CHANGE3">#REF!</definedName>
    <definedName name="Corn_BeginningStocks">'[1]Corn Data'!$D:$D</definedName>
    <definedName name="Corn_EndingStocks">'[1]Corn Data'!$N:$N</definedName>
    <definedName name="Corn_Exports">'[1]Corn Data'!$L:$L</definedName>
    <definedName name="Corn_FeedResidual">'[1]Corn Data'!$J:$J</definedName>
    <definedName name="Corn_FSI">'[1]Corn Data'!$P:$P</definedName>
    <definedName name="Corn_FuelEthanol">'[1]Corn Data'!$O:$O</definedName>
    <definedName name="Corn_Imports">'[1]Corn Data'!$F:$F</definedName>
    <definedName name="Corn_MY">'[1]Corn Data'!$A:$A</definedName>
    <definedName name="Corn_Production">'[1]Corn Data'!$E:$E</definedName>
    <definedName name="Corn_Quarter1">'[1]Corn Data'!$B:$B</definedName>
    <definedName name="Corn_TotalSupply">'[1]Corn Data'!$G:$G</definedName>
    <definedName name="Corn_TotDissap">'[1]Corn Data'!$M:$M</definedName>
    <definedName name="Corn_TotDomUse">'[1]Corn Data'!$K:$K</definedName>
    <definedName name="f">'[2]Corn Data'!$D:$D</definedName>
    <definedName name="libprice\sycyout6" localSheetId="6">'SN Low'!#REF!</definedName>
    <definedName name="libprice\sycyout6">#REF!</definedName>
    <definedName name="PCTLOAN1" localSheetId="7">'SN High'!#REF!</definedName>
    <definedName name="PCTLOAN1" localSheetId="6">'SN Low'!#REF!</definedName>
    <definedName name="PCTLOAN1">#REF!</definedName>
    <definedName name="PCTLOAN2" localSheetId="7">'SN High'!$W$1:$AF$15</definedName>
    <definedName name="PCTLOAN2" localSheetId="6">'SN Low'!$U$1:$AD$15</definedName>
    <definedName name="PCTLOAN2">#REF!</definedName>
    <definedName name="PERACRE1" localSheetId="7">'SN High'!#REF!</definedName>
    <definedName name="PERACRE1" localSheetId="6">'SN Low'!#REF!</definedName>
    <definedName name="PERACRE1">#REF!</definedName>
    <definedName name="_xlnm.Print_Area" localSheetId="0">'CZ  Low'!$B$1:$P$62</definedName>
    <definedName name="_xlnm.Print_Area" localSheetId="1">'CZ High'!$B$1:$Q$60</definedName>
    <definedName name="_xlnm.Print_Area" localSheetId="7">'SN High'!$A$1:$O$63</definedName>
    <definedName name="_xlnm.Print_Area" localSheetId="6">'SN Low'!$B$1:$O$63</definedName>
    <definedName name="_xlnm.Print_Area" localSheetId="4">'SX Low'!$A$1:$L$54</definedName>
    <definedName name="print1" localSheetId="3">'CN High'!#REF!</definedName>
    <definedName name="print1" localSheetId="2">'CN Low'!#REF!</definedName>
    <definedName name="print1" localSheetId="0">'CZ  Low'!$B$1:$P$62</definedName>
    <definedName name="print1" localSheetId="5">'SX High'!$A$1:$M$57</definedName>
    <definedName name="print1">#REF!</definedName>
    <definedName name="print2" localSheetId="3">'CN High'!$B$2:$M$55</definedName>
    <definedName name="print2" localSheetId="2">'CN Low'!$B$2:$M$57</definedName>
    <definedName name="print2">#REF!</definedName>
    <definedName name="Soy_BeginningStocks">'[1]Soybean Data (MB)'!$D:$D</definedName>
    <definedName name="Soy_Crush">'[1]Soybean Data (MB)'!$H:$H</definedName>
    <definedName name="Soy_Exports">'[1]Soybean Data (MB)'!$I:$I</definedName>
    <definedName name="Soy_Imports">'[1]Soybean Data (MB)'!$F:$F</definedName>
    <definedName name="Soy_MY">'[1]Soybean Data (MB)'!$A:$A</definedName>
    <definedName name="Soy_Production">'[1]Soybean Data (MB)'!$E:$E</definedName>
    <definedName name="Soy_Quarter">'[1]Soybean Data (MB)'!$B:$B</definedName>
    <definedName name="Soy_SFR">'[1]Soybean Data (MB)'!$J:$J</definedName>
    <definedName name="Soy_TotalDissap">'[1]Soybean Data (MB)'!$K:$K</definedName>
    <definedName name="Soy_TotalSupply">'[1]Soybean Data (MB)'!$G:$G</definedName>
    <definedName name="webpage" localSheetId="7">'SN High'!$A$2:$O$60</definedName>
    <definedName name="webpage" localSheetId="6">'SN Low'!$B$2:$O$60</definedName>
    <definedName name="webpage">#REF!</definedName>
    <definedName name="Wheat_BeginningStocks">'[1]Wheat Data'!$D:$D</definedName>
    <definedName name="Wheat_EndingStocks">'[1]Wheat Data'!$N:$N</definedName>
    <definedName name="Wheat_Exports">'[1]Wheat Data'!$L:$L</definedName>
    <definedName name="Wheat_FeedandResidualUse">'[1]Wheat Data'!$J:$J</definedName>
    <definedName name="Wheat_FoodUse">'[1]Wheat Data'!$H:$H</definedName>
    <definedName name="Wheat_Imports">'[1]Wheat Data'!$F:$F</definedName>
    <definedName name="Wheat_MY">'[1]Wheat Data'!$A:$A</definedName>
    <definedName name="Wheat_Production">'[1]Wheat Data'!$E:$E</definedName>
    <definedName name="Wheat_Quarter1">'[1]Wheat Data'!$B:$B</definedName>
    <definedName name="Wheat_SeedUse">'[1]Wheat Data'!$I:$I</definedName>
    <definedName name="Wheat_TotalDissapearance">'[1]Wheat Data'!$M:$M</definedName>
    <definedName name="Wheat_TotalDomesticUse">'[1]Wheat Data'!$K:$K</definedName>
    <definedName name="Wheat_TotalSupply">'[1]Wheat Data'!$G:$G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9" l="1"/>
  <c r="K6" i="9"/>
  <c r="K5" i="9"/>
  <c r="K4" i="9"/>
  <c r="L63" i="8"/>
  <c r="F63" i="8"/>
  <c r="N60" i="8"/>
  <c r="O60" i="8" s="1"/>
  <c r="N59" i="8"/>
  <c r="O59" i="8" s="1"/>
  <c r="N58" i="8"/>
  <c r="O58" i="8" s="1"/>
  <c r="N57" i="8"/>
  <c r="O57" i="8" s="1"/>
  <c r="N56" i="8"/>
  <c r="O56" i="8" s="1"/>
  <c r="N55" i="8"/>
  <c r="O55" i="8" s="1"/>
  <c r="N54" i="8"/>
  <c r="O54" i="8" s="1"/>
  <c r="N53" i="8"/>
  <c r="O53" i="8" s="1"/>
  <c r="N52" i="8"/>
  <c r="O52" i="8" s="1"/>
  <c r="N51" i="8"/>
  <c r="O51" i="8" s="1"/>
  <c r="N50" i="8"/>
  <c r="O50" i="8" s="1"/>
  <c r="N49" i="8"/>
  <c r="O49" i="8" s="1"/>
  <c r="N48" i="8"/>
  <c r="O48" i="8" s="1"/>
  <c r="N47" i="8"/>
  <c r="O47" i="8" s="1"/>
  <c r="N46" i="8"/>
  <c r="O46" i="8" s="1"/>
  <c r="N45" i="8"/>
  <c r="O45" i="8" s="1"/>
  <c r="N44" i="8"/>
  <c r="O44" i="8" s="1"/>
  <c r="N43" i="8"/>
  <c r="O43" i="8" s="1"/>
  <c r="N42" i="8"/>
  <c r="O42" i="8" s="1"/>
  <c r="N41" i="8"/>
  <c r="O41" i="8" s="1"/>
  <c r="N40" i="8"/>
  <c r="O40" i="8" s="1"/>
  <c r="N39" i="8"/>
  <c r="O39" i="8" s="1"/>
  <c r="N38" i="8"/>
  <c r="O38" i="8" s="1"/>
  <c r="N37" i="8"/>
  <c r="L33" i="8"/>
  <c r="F33" i="8"/>
  <c r="N30" i="8"/>
  <c r="O30" i="8" s="1"/>
  <c r="N29" i="8"/>
  <c r="O29" i="8" s="1"/>
  <c r="N28" i="8"/>
  <c r="O28" i="8" s="1"/>
  <c r="N27" i="8"/>
  <c r="O27" i="8" s="1"/>
  <c r="N26" i="8"/>
  <c r="O26" i="8" s="1"/>
  <c r="N25" i="8"/>
  <c r="O25" i="8" s="1"/>
  <c r="L21" i="8"/>
  <c r="F21" i="8"/>
  <c r="N18" i="8"/>
  <c r="O18" i="8" s="1"/>
  <c r="N17" i="8"/>
  <c r="O17" i="8" s="1"/>
  <c r="N16" i="8"/>
  <c r="O16" i="8" s="1"/>
  <c r="N15" i="8"/>
  <c r="O15" i="8" s="1"/>
  <c r="N14" i="8"/>
  <c r="O14" i="8" s="1"/>
  <c r="N13" i="8"/>
  <c r="L63" i="7"/>
  <c r="F63" i="7"/>
  <c r="N60" i="7"/>
  <c r="O60" i="7" s="1"/>
  <c r="N59" i="7"/>
  <c r="O59" i="7" s="1"/>
  <c r="N58" i="7"/>
  <c r="O58" i="7" s="1"/>
  <c r="N57" i="7"/>
  <c r="O57" i="7" s="1"/>
  <c r="N56" i="7"/>
  <c r="O56" i="7" s="1"/>
  <c r="N55" i="7"/>
  <c r="O55" i="7" s="1"/>
  <c r="N54" i="7"/>
  <c r="O54" i="7" s="1"/>
  <c r="N53" i="7"/>
  <c r="O53" i="7" s="1"/>
  <c r="N52" i="7"/>
  <c r="O52" i="7" s="1"/>
  <c r="N51" i="7"/>
  <c r="O51" i="7" s="1"/>
  <c r="N50" i="7"/>
  <c r="O50" i="7" s="1"/>
  <c r="N49" i="7"/>
  <c r="O49" i="7" s="1"/>
  <c r="N48" i="7"/>
  <c r="O48" i="7" s="1"/>
  <c r="N47" i="7"/>
  <c r="O47" i="7" s="1"/>
  <c r="N46" i="7"/>
  <c r="O46" i="7" s="1"/>
  <c r="N45" i="7"/>
  <c r="O45" i="7" s="1"/>
  <c r="N44" i="7"/>
  <c r="O44" i="7" s="1"/>
  <c r="N43" i="7"/>
  <c r="O43" i="7" s="1"/>
  <c r="N42" i="7"/>
  <c r="O42" i="7" s="1"/>
  <c r="N41" i="7"/>
  <c r="O41" i="7" s="1"/>
  <c r="N40" i="7"/>
  <c r="O40" i="7" s="1"/>
  <c r="N39" i="7"/>
  <c r="N38" i="7"/>
  <c r="O38" i="7" s="1"/>
  <c r="N37" i="7"/>
  <c r="O37" i="7" s="1"/>
  <c r="L33" i="7"/>
  <c r="G33" i="7"/>
  <c r="N30" i="7"/>
  <c r="O30" i="7" s="1"/>
  <c r="N29" i="7"/>
  <c r="O29" i="7" s="1"/>
  <c r="N28" i="7"/>
  <c r="O28" i="7" s="1"/>
  <c r="N27" i="7"/>
  <c r="O27" i="7" s="1"/>
  <c r="N26" i="7"/>
  <c r="O26" i="7" s="1"/>
  <c r="N25" i="7"/>
  <c r="L21" i="7"/>
  <c r="G21" i="7"/>
  <c r="N18" i="7"/>
  <c r="O18" i="7" s="1"/>
  <c r="N17" i="7"/>
  <c r="O17" i="7" s="1"/>
  <c r="N16" i="7"/>
  <c r="O16" i="7" s="1"/>
  <c r="N15" i="7"/>
  <c r="O15" i="7" s="1"/>
  <c r="N14" i="7"/>
  <c r="O14" i="7" s="1"/>
  <c r="N13" i="7"/>
  <c r="O13" i="7" s="1"/>
  <c r="B54" i="6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B42" i="6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B54" i="5"/>
  <c r="J52" i="5"/>
  <c r="K52" i="5" s="1"/>
  <c r="J51" i="5"/>
  <c r="K51" i="5" s="1"/>
  <c r="J50" i="5"/>
  <c r="K50" i="5" s="1"/>
  <c r="J49" i="5"/>
  <c r="K49" i="5" s="1"/>
  <c r="J48" i="5"/>
  <c r="K48" i="5" s="1"/>
  <c r="J47" i="5"/>
  <c r="J46" i="5"/>
  <c r="K46" i="5" s="1"/>
  <c r="B42" i="5"/>
  <c r="J40" i="5"/>
  <c r="K40" i="5" s="1"/>
  <c r="J39" i="5"/>
  <c r="K39" i="5" s="1"/>
  <c r="J38" i="5"/>
  <c r="K38" i="5" s="1"/>
  <c r="J37" i="5"/>
  <c r="K37" i="5" s="1"/>
  <c r="J36" i="5"/>
  <c r="K36" i="5" s="1"/>
  <c r="J35" i="5"/>
  <c r="K35" i="5" s="1"/>
  <c r="J34" i="5"/>
  <c r="K34" i="5" s="1"/>
  <c r="J33" i="5"/>
  <c r="K33" i="5" s="1"/>
  <c r="J32" i="5"/>
  <c r="K32" i="5" s="1"/>
  <c r="J31" i="5"/>
  <c r="K31" i="5" s="1"/>
  <c r="J30" i="5"/>
  <c r="K30" i="5" s="1"/>
  <c r="J29" i="5"/>
  <c r="K29" i="5" s="1"/>
  <c r="J28" i="5"/>
  <c r="K28" i="5" s="1"/>
  <c r="J27" i="5"/>
  <c r="K27" i="5" s="1"/>
  <c r="J26" i="5"/>
  <c r="K26" i="5" s="1"/>
  <c r="J25" i="5"/>
  <c r="K25" i="5" s="1"/>
  <c r="J24" i="5"/>
  <c r="K24" i="5" s="1"/>
  <c r="J23" i="5"/>
  <c r="K23" i="5" s="1"/>
  <c r="J22" i="5"/>
  <c r="K22" i="5" s="1"/>
  <c r="J21" i="5"/>
  <c r="K21" i="5" s="1"/>
  <c r="J20" i="5"/>
  <c r="K20" i="5" s="1"/>
  <c r="J19" i="5"/>
  <c r="K19" i="5" s="1"/>
  <c r="J18" i="5"/>
  <c r="K18" i="5" s="1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J59" i="4"/>
  <c r="E59" i="4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J46" i="4"/>
  <c r="E46" i="4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M36" i="4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J60" i="3"/>
  <c r="E60" i="3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J46" i="3"/>
  <c r="E46" i="3"/>
  <c r="L44" i="3"/>
  <c r="M44" i="3" s="1"/>
  <c r="L43" i="3"/>
  <c r="M43" i="3" s="1"/>
  <c r="L42" i="3"/>
  <c r="M42" i="3" s="1"/>
  <c r="L41" i="3"/>
  <c r="M41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32" i="3"/>
  <c r="M32" i="3" s="1"/>
  <c r="L31" i="3"/>
  <c r="M31" i="3" s="1"/>
  <c r="L30" i="3"/>
  <c r="M30" i="3" s="1"/>
  <c r="L29" i="3"/>
  <c r="M29" i="3" s="1"/>
  <c r="L28" i="3"/>
  <c r="M28" i="3" s="1"/>
  <c r="L27" i="3"/>
  <c r="M27" i="3" s="1"/>
  <c r="L26" i="3"/>
  <c r="M26" i="3" s="1"/>
  <c r="L25" i="3"/>
  <c r="M25" i="3" s="1"/>
  <c r="L24" i="3"/>
  <c r="M24" i="3" s="1"/>
  <c r="L23" i="3"/>
  <c r="M23" i="3" s="1"/>
  <c r="L22" i="3"/>
  <c r="M22" i="3" s="1"/>
  <c r="L21" i="3"/>
  <c r="M21" i="3" s="1"/>
  <c r="L20" i="3"/>
  <c r="M20" i="3" s="1"/>
  <c r="L19" i="3"/>
  <c r="M19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12" i="3"/>
  <c r="M12" i="3" s="1"/>
  <c r="L11" i="3"/>
  <c r="M11" i="3" s="1"/>
  <c r="L10" i="3"/>
  <c r="M10" i="3" s="1"/>
  <c r="L9" i="3"/>
  <c r="O59" i="2"/>
  <c r="M59" i="2"/>
  <c r="G59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M33" i="2"/>
  <c r="P29" i="2"/>
  <c r="P28" i="2"/>
  <c r="P27" i="2"/>
  <c r="P26" i="2"/>
  <c r="P25" i="2"/>
  <c r="P24" i="2"/>
  <c r="P23" i="2"/>
  <c r="P22" i="2"/>
  <c r="P21" i="2"/>
  <c r="P20" i="2"/>
  <c r="P19" i="2"/>
  <c r="O18" i="2"/>
  <c r="P18" i="2" s="1"/>
  <c r="G18" i="2"/>
  <c r="G33" i="2" s="1"/>
  <c r="P17" i="2"/>
  <c r="P16" i="2"/>
  <c r="P15" i="2"/>
  <c r="P14" i="2"/>
  <c r="P13" i="2"/>
  <c r="P12" i="2"/>
  <c r="M57" i="1"/>
  <c r="O55" i="1"/>
  <c r="P55" i="1" s="1"/>
  <c r="G55" i="1"/>
  <c r="O54" i="1"/>
  <c r="P54" i="1" s="1"/>
  <c r="G54" i="1"/>
  <c r="O53" i="1"/>
  <c r="P53" i="1" s="1"/>
  <c r="G53" i="1"/>
  <c r="O52" i="1"/>
  <c r="P52" i="1" s="1"/>
  <c r="G52" i="1"/>
  <c r="O51" i="1"/>
  <c r="P51" i="1" s="1"/>
  <c r="G51" i="1"/>
  <c r="O50" i="1"/>
  <c r="P50" i="1" s="1"/>
  <c r="G50" i="1"/>
  <c r="O49" i="1"/>
  <c r="P49" i="1" s="1"/>
  <c r="G49" i="1"/>
  <c r="O48" i="1"/>
  <c r="P48" i="1" s="1"/>
  <c r="G48" i="1"/>
  <c r="O47" i="1"/>
  <c r="P47" i="1" s="1"/>
  <c r="G47" i="1"/>
  <c r="O46" i="1"/>
  <c r="P46" i="1" s="1"/>
  <c r="G46" i="1"/>
  <c r="O45" i="1"/>
  <c r="P45" i="1" s="1"/>
  <c r="G45" i="1"/>
  <c r="O44" i="1"/>
  <c r="P44" i="1" s="1"/>
  <c r="G44" i="1"/>
  <c r="O43" i="1"/>
  <c r="P43" i="1" s="1"/>
  <c r="G43" i="1"/>
  <c r="O42" i="1"/>
  <c r="P42" i="1" s="1"/>
  <c r="G42" i="1"/>
  <c r="O41" i="1"/>
  <c r="P41" i="1" s="1"/>
  <c r="G41" i="1"/>
  <c r="O40" i="1"/>
  <c r="P40" i="1" s="1"/>
  <c r="G40" i="1"/>
  <c r="O39" i="1"/>
  <c r="G39" i="1"/>
  <c r="P38" i="1"/>
  <c r="G38" i="1"/>
  <c r="P37" i="1"/>
  <c r="O37" i="1"/>
  <c r="G37" i="1"/>
  <c r="M32" i="1"/>
  <c r="O29" i="1"/>
  <c r="P29" i="1" s="1"/>
  <c r="G29" i="1"/>
  <c r="O28" i="1"/>
  <c r="P28" i="1" s="1"/>
  <c r="G28" i="1"/>
  <c r="O27" i="1"/>
  <c r="P27" i="1" s="1"/>
  <c r="G27" i="1"/>
  <c r="O26" i="1"/>
  <c r="P26" i="1" s="1"/>
  <c r="G26" i="1"/>
  <c r="O25" i="1"/>
  <c r="P25" i="1" s="1"/>
  <c r="G25" i="1"/>
  <c r="O24" i="1"/>
  <c r="P24" i="1" s="1"/>
  <c r="G24" i="1"/>
  <c r="O23" i="1"/>
  <c r="P23" i="1" s="1"/>
  <c r="G23" i="1"/>
  <c r="O22" i="1"/>
  <c r="P22" i="1" s="1"/>
  <c r="G22" i="1"/>
  <c r="O21" i="1"/>
  <c r="P21" i="1" s="1"/>
  <c r="G21" i="1"/>
  <c r="O20" i="1"/>
  <c r="P20" i="1" s="1"/>
  <c r="G20" i="1"/>
  <c r="O19" i="1"/>
  <c r="G19" i="1"/>
  <c r="O18" i="1"/>
  <c r="P18" i="1" s="1"/>
  <c r="G18" i="1"/>
  <c r="O17" i="1"/>
  <c r="P17" i="1" s="1"/>
  <c r="G17" i="1"/>
  <c r="O16" i="1"/>
  <c r="P16" i="1" s="1"/>
  <c r="G16" i="1"/>
  <c r="O15" i="1"/>
  <c r="P15" i="1" s="1"/>
  <c r="G15" i="1"/>
  <c r="O14" i="1"/>
  <c r="P14" i="1" s="1"/>
  <c r="G14" i="1"/>
  <c r="O13" i="1"/>
  <c r="P13" i="1" s="1"/>
  <c r="G13" i="1"/>
  <c r="O12" i="1"/>
  <c r="P12" i="1" s="1"/>
  <c r="G12" i="1"/>
  <c r="O21" i="7" l="1"/>
  <c r="N21" i="8"/>
  <c r="U20" i="1"/>
  <c r="N21" i="7"/>
  <c r="G32" i="1"/>
  <c r="O57" i="1"/>
  <c r="M60" i="3"/>
  <c r="N63" i="7"/>
  <c r="J54" i="5"/>
  <c r="G57" i="1"/>
  <c r="N63" i="8"/>
  <c r="J42" i="5"/>
  <c r="N33" i="7"/>
  <c r="O33" i="2"/>
  <c r="P33" i="2"/>
  <c r="L46" i="3"/>
  <c r="L59" i="4"/>
  <c r="P59" i="2"/>
  <c r="O33" i="8"/>
  <c r="K42" i="6"/>
  <c r="K54" i="6"/>
  <c r="O13" i="8"/>
  <c r="O21" i="8" s="1"/>
  <c r="J54" i="6"/>
  <c r="O39" i="7"/>
  <c r="O63" i="7" s="1"/>
  <c r="K47" i="5"/>
  <c r="K54" i="5" s="1"/>
  <c r="J42" i="6"/>
  <c r="K11" i="5"/>
  <c r="K42" i="5" s="1"/>
  <c r="N33" i="8"/>
  <c r="O37" i="8"/>
  <c r="O63" i="8" s="1"/>
  <c r="O25" i="7"/>
  <c r="O33" i="7" s="1"/>
  <c r="M46" i="4"/>
  <c r="M9" i="3"/>
  <c r="M46" i="3" s="1"/>
  <c r="M50" i="4"/>
  <c r="M59" i="4" s="1"/>
  <c r="L46" i="4"/>
  <c r="L60" i="3"/>
  <c r="O32" i="1"/>
  <c r="P19" i="1"/>
  <c r="P32" i="1" s="1"/>
  <c r="P39" i="1"/>
  <c r="P57" i="1" s="1"/>
</calcChain>
</file>

<file path=xl/sharedStrings.xml><?xml version="1.0" encoding="utf-8"?>
<sst xmlns="http://schemas.openxmlformats.org/spreadsheetml/2006/main" count="342" uniqueCount="126">
  <si>
    <t>January - December Lows In December Corn Futures</t>
  </si>
  <si>
    <t xml:space="preserve">  Years Listed In Order of Production as Pct of Same Year's Use</t>
  </si>
  <si>
    <t>Date of</t>
  </si>
  <si>
    <t>Same</t>
  </si>
  <si>
    <t>Production as</t>
  </si>
  <si>
    <t>Jan 1st</t>
  </si>
  <si>
    <t>Jan-Dec</t>
  </si>
  <si>
    <t>Year's</t>
  </si>
  <si>
    <t>% of Same</t>
  </si>
  <si>
    <t>Close Dec</t>
  </si>
  <si>
    <t>Low Dec</t>
  </si>
  <si>
    <t>Low as Pct</t>
  </si>
  <si>
    <t>Equivalent</t>
  </si>
  <si>
    <t>Crop Year</t>
  </si>
  <si>
    <t>Usage</t>
  </si>
  <si>
    <t>Production</t>
  </si>
  <si>
    <t>Yr's Use</t>
  </si>
  <si>
    <t>Futures</t>
  </si>
  <si>
    <t>Jan 1st Price</t>
  </si>
  <si>
    <t>2026 Low</t>
  </si>
  <si>
    <t>--Years With Production Above Usage--</t>
  </si>
  <si>
    <t>1990</t>
  </si>
  <si>
    <t>Median</t>
  </si>
  <si>
    <t>-- Years With Production Below Usage--</t>
  </si>
  <si>
    <t>Est</t>
  </si>
  <si>
    <t xml:space="preserve"> </t>
  </si>
  <si>
    <t xml:space="preserve">  </t>
  </si>
  <si>
    <t>1991</t>
  </si>
  <si>
    <t>January - December Highs In December Corn Futures</t>
  </si>
  <si>
    <t xml:space="preserve">    Years Listed In Order of Production as Pct of Same Year's Use</t>
  </si>
  <si>
    <t xml:space="preserve">% of Same </t>
  </si>
  <si>
    <t>High Dec</t>
  </si>
  <si>
    <t>High as Pct</t>
  </si>
  <si>
    <t>2026 High</t>
  </si>
  <si>
    <t>1992</t>
  </si>
  <si>
    <t>7/2/90</t>
  </si>
  <si>
    <t>--Years With Production Below Usage--</t>
  </si>
  <si>
    <t>January-July Low In July Corn Futures</t>
  </si>
  <si>
    <t>Years Listed In Order of Carryout as Percent of Use</t>
  </si>
  <si>
    <t xml:space="preserve"> Carry-</t>
  </si>
  <si>
    <t>Jan-Jul Low</t>
  </si>
  <si>
    <t>Jul Corn</t>
  </si>
  <si>
    <t>Tot Usage</t>
  </si>
  <si>
    <t>Tot Prod</t>
  </si>
  <si>
    <t>Out As %</t>
  </si>
  <si>
    <t>In Jul Corn</t>
  </si>
  <si>
    <t>Jan-Jul</t>
  </si>
  <si>
    <t>On Jan 1st</t>
  </si>
  <si>
    <t>As A Pct Of</t>
  </si>
  <si>
    <t>(Mil Bu)</t>
  </si>
  <si>
    <t>Of Use</t>
  </si>
  <si>
    <t>(cts/bu)</t>
  </si>
  <si>
    <t>Low</t>
  </si>
  <si>
    <t xml:space="preserve">2020 </t>
  </si>
  <si>
    <t>--Years With Summer Crop Scare In New Crop --</t>
  </si>
  <si>
    <t>January-July High In July Corn Futures</t>
  </si>
  <si>
    <t>Carry-</t>
  </si>
  <si>
    <t>Jan-Jul High</t>
  </si>
  <si>
    <t>High</t>
  </si>
  <si>
    <t>1997</t>
  </si>
  <si>
    <t xml:space="preserve">2019 </t>
  </si>
  <si>
    <t>January - November Lows In November Soybean Futures</t>
  </si>
  <si>
    <t>Years Listed In Order of World Carryout as Pct of Same Year's Use</t>
  </si>
  <si>
    <t>World</t>
  </si>
  <si>
    <t>Date</t>
  </si>
  <si>
    <t>C/O as %</t>
  </si>
  <si>
    <t>January 1st</t>
  </si>
  <si>
    <t>of Jan-Nov</t>
  </si>
  <si>
    <t>Jan-Nov</t>
  </si>
  <si>
    <t>World Prod</t>
  </si>
  <si>
    <t>of Same</t>
  </si>
  <si>
    <t>Close Nov</t>
  </si>
  <si>
    <t>Low Nov</t>
  </si>
  <si>
    <t>Low as Pct of</t>
  </si>
  <si>
    <t>as pct of</t>
  </si>
  <si>
    <t>Prev Yrs Use</t>
  </si>
  <si>
    <t>Years Wth World Production Equal to or Greater Than Previous Year's Use</t>
  </si>
  <si>
    <t>2023</t>
  </si>
  <si>
    <t>2025</t>
  </si>
  <si>
    <t xml:space="preserve">2022 </t>
  </si>
  <si>
    <t>Years Wth World Production Less Than Previous Year's Use</t>
  </si>
  <si>
    <t>2021</t>
  </si>
  <si>
    <t>January - November Highs In November Soybean Futures</t>
  </si>
  <si>
    <t xml:space="preserve">    'Years Listed In Order of World Carryout as Pct of Same Year's Use</t>
  </si>
  <si>
    <t>C/O As %</t>
  </si>
  <si>
    <t>High Nov</t>
  </si>
  <si>
    <t>High as Pct of</t>
  </si>
  <si>
    <t xml:space="preserve">2021 </t>
  </si>
  <si>
    <t>January-July Low In July Soybeans</t>
  </si>
  <si>
    <t>Listed In Order Of Carry Out As A Percent Of Same Year's Use</t>
  </si>
  <si>
    <t>Total</t>
  </si>
  <si>
    <t>Change</t>
  </si>
  <si>
    <t>Supply</t>
  </si>
  <si>
    <t>Carry Out</t>
  </si>
  <si>
    <t>Jul Beans</t>
  </si>
  <si>
    <t>In World</t>
  </si>
  <si>
    <t>As Pct Of</t>
  </si>
  <si>
    <t>Carry</t>
  </si>
  <si>
    <t>As Pct</t>
  </si>
  <si>
    <t>Low In</t>
  </si>
  <si>
    <t>On</t>
  </si>
  <si>
    <t>In Jul Beans</t>
  </si>
  <si>
    <t>2025/26</t>
  </si>
  <si>
    <t>Prev Year's</t>
  </si>
  <si>
    <t>Out</t>
  </si>
  <si>
    <t>(Mil MT)</t>
  </si>
  <si>
    <t>Years with crop scares</t>
  </si>
  <si>
    <t>Years with crop problems in South America (same crop year)</t>
  </si>
  <si>
    <t>Years without crop scares</t>
  </si>
  <si>
    <t>2024</t>
  </si>
  <si>
    <t>January-July High In July Soybeans</t>
  </si>
  <si>
    <t>Listed In Order Of Carry Out As A Percent Of Same Year's World Use</t>
  </si>
  <si>
    <t>USA</t>
  </si>
  <si>
    <t>High In</t>
  </si>
  <si>
    <t>Future</t>
  </si>
  <si>
    <t>Period</t>
  </si>
  <si>
    <t>Forecast</t>
  </si>
  <si>
    <t>Price</t>
  </si>
  <si>
    <t>Comment</t>
  </si>
  <si>
    <t>% of Jan 1 Price</t>
  </si>
  <si>
    <t>CZ25</t>
  </si>
  <si>
    <t>Final</t>
  </si>
  <si>
    <t>SX25</t>
  </si>
  <si>
    <t>CN26</t>
  </si>
  <si>
    <t>Estimate</t>
  </si>
  <si>
    <t>SN26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</si>
</sst>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;@"/>
    <numFmt numFmtId="165" formatCode="0.0%"/>
    <numFmt numFmtId="166" formatCode="0.0"/>
    <numFmt numFmtId="167" formatCode="hh:mm:ss\ AM/PM"/>
    <numFmt numFmtId="168" formatCode="&quot;$&quot;#,##0.0000_);[Red]\(&quot;$&quot;#,##0.0000\)"/>
  </numFmts>
  <fonts count="25" x14ac:knownFonts="1">
    <font>
      <sz val="11"/>
      <color theme="1"/>
      <name val="Calibri"/>
      <family val="2"/>
      <scheme val="minor"/>
    </font>
    <font>
      <sz val="10"/>
      <name val="Courie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C00000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u/>
      <sz val="8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10"/>
      <name val="Courier"/>
      <family val="3"/>
    </font>
    <font>
      <b/>
      <sz val="10"/>
      <name val="Courier"/>
    </font>
    <font>
      <sz val="8"/>
      <name val="Helv"/>
    </font>
    <font>
      <sz val="8"/>
      <name val="Courier"/>
      <family val="3"/>
    </font>
    <font>
      <sz val="12"/>
      <name val="Courier"/>
    </font>
    <font>
      <sz val="14"/>
      <name val="Helv"/>
    </font>
    <font>
      <b/>
      <sz val="8"/>
      <name val="Courier"/>
      <family val="3"/>
    </font>
    <font>
      <sz val="10"/>
      <name val="Helv"/>
    </font>
    <font>
      <u/>
      <sz val="10"/>
      <name val="Arial"/>
      <family val="2"/>
    </font>
    <font>
      <b/>
      <sz val="12"/>
      <color theme="1"/>
      <name val="Garamond"/>
      <family val="1"/>
    </font>
    <font>
      <b/>
      <sz val="12"/>
      <color theme="1"/>
      <name val="Source Sans Pro"/>
      <family val="2"/>
    </font>
    <font>
      <sz val="12"/>
      <color theme="1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239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/>
    <xf numFmtId="9" fontId="2" fillId="2" borderId="0" xfId="2" applyFont="1" applyFill="1"/>
    <xf numFmtId="0" fontId="3" fillId="2" borderId="0" xfId="1" applyFont="1" applyFill="1"/>
    <xf numFmtId="0" fontId="4" fillId="2" borderId="0" xfId="1" applyFont="1" applyFill="1"/>
    <xf numFmtId="9" fontId="3" fillId="2" borderId="0" xfId="2" applyFont="1" applyFill="1"/>
    <xf numFmtId="0" fontId="5" fillId="2" borderId="0" xfId="1" applyFont="1" applyFill="1"/>
    <xf numFmtId="15" fontId="2" fillId="2" borderId="0" xfId="1" applyNumberFormat="1" applyFont="1" applyFill="1"/>
    <xf numFmtId="14" fontId="2" fillId="2" borderId="0" xfId="1" applyNumberFormat="1" applyFont="1" applyFill="1"/>
    <xf numFmtId="0" fontId="6" fillId="2" borderId="0" xfId="1" applyFont="1" applyFill="1" applyAlignment="1">
      <alignment horizontal="left"/>
    </xf>
    <xf numFmtId="18" fontId="2" fillId="2" borderId="0" xfId="1" applyNumberFormat="1" applyFont="1" applyFill="1"/>
    <xf numFmtId="0" fontId="2" fillId="2" borderId="0" xfId="1" applyFont="1" applyFill="1" applyAlignment="1">
      <alignment horizontal="right"/>
    </xf>
    <xf numFmtId="9" fontId="2" fillId="2" borderId="0" xfId="2" applyFont="1" applyFill="1" applyAlignment="1">
      <alignment horizontal="right"/>
    </xf>
    <xf numFmtId="17" fontId="2" fillId="2" borderId="0" xfId="1" applyNumberFormat="1" applyFont="1" applyFill="1" applyAlignment="1">
      <alignment horizontal="right"/>
    </xf>
    <xf numFmtId="9" fontId="2" fillId="2" borderId="0" xfId="2" applyFont="1" applyFill="1" applyAlignment="1" applyProtection="1">
      <alignment horizontal="right"/>
    </xf>
    <xf numFmtId="0" fontId="7" fillId="2" borderId="0" xfId="1" applyFont="1" applyFill="1" applyAlignment="1">
      <alignment horizontal="right"/>
    </xf>
    <xf numFmtId="0" fontId="7" fillId="2" borderId="0" xfId="1" applyFont="1" applyFill="1"/>
    <xf numFmtId="9" fontId="7" fillId="2" borderId="0" xfId="2" applyFont="1" applyFill="1" applyAlignment="1" applyProtection="1">
      <alignment horizontal="right"/>
    </xf>
    <xf numFmtId="0" fontId="3" fillId="2" borderId="0" xfId="1" applyFont="1" applyFill="1" applyAlignment="1">
      <alignment horizontal="left"/>
    </xf>
    <xf numFmtId="9" fontId="3" fillId="2" borderId="0" xfId="2" applyFont="1" applyFill="1" applyProtection="1"/>
    <xf numFmtId="2" fontId="3" fillId="2" borderId="0" xfId="1" applyNumberFormat="1" applyFont="1" applyFill="1"/>
    <xf numFmtId="164" fontId="3" fillId="0" borderId="0" xfId="1" applyNumberFormat="1" applyFont="1" applyAlignment="1">
      <alignment horizontal="right"/>
    </xf>
    <xf numFmtId="14" fontId="3" fillId="2" borderId="0" xfId="1" applyNumberFormat="1" applyFont="1" applyFill="1" applyAlignment="1">
      <alignment horizontal="right"/>
    </xf>
    <xf numFmtId="2" fontId="3" fillId="2" borderId="0" xfId="1" applyNumberFormat="1" applyFont="1" applyFill="1" applyAlignment="1">
      <alignment horizontal="left"/>
    </xf>
    <xf numFmtId="1" fontId="2" fillId="2" borderId="0" xfId="1" applyNumberFormat="1" applyFont="1" applyFill="1"/>
    <xf numFmtId="9" fontId="2" fillId="2" borderId="0" xfId="1" applyNumberFormat="1" applyFont="1" applyFill="1"/>
    <xf numFmtId="164" fontId="2" fillId="2" borderId="0" xfId="1" applyNumberFormat="1" applyFont="1" applyFill="1" applyAlignment="1">
      <alignment horizontal="right"/>
    </xf>
    <xf numFmtId="2" fontId="2" fillId="2" borderId="0" xfId="1" applyNumberFormat="1" applyFont="1" applyFill="1"/>
    <xf numFmtId="0" fontId="3" fillId="3" borderId="0" xfId="1" applyFont="1" applyFill="1" applyAlignment="1">
      <alignment horizontal="left"/>
    </xf>
    <xf numFmtId="1" fontId="3" fillId="3" borderId="0" xfId="1" applyNumberFormat="1" applyFont="1" applyFill="1"/>
    <xf numFmtId="9" fontId="3" fillId="3" borderId="0" xfId="2" applyFont="1" applyFill="1" applyProtection="1"/>
    <xf numFmtId="2" fontId="3" fillId="3" borderId="0" xfId="1" applyNumberFormat="1" applyFont="1" applyFill="1"/>
    <xf numFmtId="164" fontId="3" fillId="4" borderId="0" xfId="1" applyNumberFormat="1" applyFont="1" applyFill="1" applyAlignment="1">
      <alignment horizontal="right"/>
    </xf>
    <xf numFmtId="14" fontId="2" fillId="2" borderId="0" xfId="1" applyNumberFormat="1" applyFont="1" applyFill="1" applyAlignment="1">
      <alignment horizontal="right"/>
    </xf>
    <xf numFmtId="164" fontId="3" fillId="2" borderId="0" xfId="1" applyNumberFormat="1" applyFont="1" applyFill="1" applyAlignment="1">
      <alignment horizontal="right"/>
    </xf>
    <xf numFmtId="0" fontId="3" fillId="3" borderId="0" xfId="1" applyFont="1" applyFill="1"/>
    <xf numFmtId="164" fontId="3" fillId="3" borderId="0" xfId="1" applyNumberFormat="1" applyFont="1" applyFill="1" applyAlignment="1">
      <alignment horizontal="right"/>
    </xf>
    <xf numFmtId="14" fontId="3" fillId="3" borderId="0" xfId="1" applyNumberFormat="1" applyFont="1" applyFill="1" applyAlignment="1">
      <alignment horizontal="right"/>
    </xf>
    <xf numFmtId="2" fontId="3" fillId="3" borderId="0" xfId="1" applyNumberFormat="1" applyFont="1" applyFill="1" applyAlignment="1">
      <alignment horizontal="left"/>
    </xf>
    <xf numFmtId="1" fontId="3" fillId="2" borderId="0" xfId="1" applyNumberFormat="1" applyFont="1" applyFill="1"/>
    <xf numFmtId="0" fontId="8" fillId="2" borderId="0" xfId="1" applyFont="1" applyFill="1"/>
    <xf numFmtId="0" fontId="8" fillId="2" borderId="0" xfId="1" applyFont="1" applyFill="1" applyAlignment="1">
      <alignment horizontal="left"/>
    </xf>
    <xf numFmtId="1" fontId="8" fillId="2" borderId="0" xfId="1" applyNumberFormat="1" applyFont="1" applyFill="1"/>
    <xf numFmtId="9" fontId="8" fillId="2" borderId="0" xfId="1" applyNumberFormat="1" applyFont="1" applyFill="1"/>
    <xf numFmtId="164" fontId="8" fillId="2" borderId="0" xfId="1" applyNumberFormat="1" applyFont="1" applyFill="1" applyAlignment="1">
      <alignment horizontal="right"/>
    </xf>
    <xf numFmtId="2" fontId="8" fillId="2" borderId="0" xfId="1" applyNumberFormat="1" applyFont="1" applyFill="1"/>
    <xf numFmtId="1" fontId="2" fillId="2" borderId="0" xfId="1" applyNumberFormat="1" applyFont="1" applyFill="1" applyAlignment="1">
      <alignment horizontal="left"/>
    </xf>
    <xf numFmtId="164" fontId="2" fillId="2" borderId="0" xfId="1" applyNumberFormat="1" applyFont="1" applyFill="1"/>
    <xf numFmtId="9" fontId="4" fillId="2" borderId="0" xfId="2" applyFont="1" applyFill="1"/>
    <xf numFmtId="14" fontId="4" fillId="2" borderId="0" xfId="1" applyNumberFormat="1" applyFont="1" applyFill="1"/>
    <xf numFmtId="2" fontId="4" fillId="2" borderId="0" xfId="1" applyNumberFormat="1" applyFont="1" applyFill="1"/>
    <xf numFmtId="9" fontId="2" fillId="2" borderId="0" xfId="2" applyFont="1" applyFill="1" applyProtection="1"/>
    <xf numFmtId="2" fontId="2" fillId="2" borderId="0" xfId="1" applyNumberFormat="1" applyFont="1" applyFill="1" applyAlignment="1">
      <alignment horizontal="left"/>
    </xf>
    <xf numFmtId="0" fontId="2" fillId="2" borderId="0" xfId="1" quotePrefix="1" applyFont="1" applyFill="1" applyAlignment="1">
      <alignment horizontal="left"/>
    </xf>
    <xf numFmtId="0" fontId="4" fillId="3" borderId="0" xfId="1" applyFont="1" applyFill="1" applyAlignment="1">
      <alignment horizontal="left"/>
    </xf>
    <xf numFmtId="1" fontId="4" fillId="3" borderId="0" xfId="1" applyNumberFormat="1" applyFont="1" applyFill="1"/>
    <xf numFmtId="0" fontId="4" fillId="3" borderId="0" xfId="1" applyFont="1" applyFill="1"/>
    <xf numFmtId="9" fontId="4" fillId="3" borderId="0" xfId="2" applyFont="1" applyFill="1" applyProtection="1"/>
    <xf numFmtId="2" fontId="4" fillId="3" borderId="0" xfId="1" applyNumberFormat="1" applyFont="1" applyFill="1"/>
    <xf numFmtId="164" fontId="4" fillId="3" borderId="0" xfId="1" applyNumberFormat="1" applyFont="1" applyFill="1" applyAlignment="1">
      <alignment horizontal="right"/>
    </xf>
    <xf numFmtId="2" fontId="4" fillId="3" borderId="0" xfId="1" applyNumberFormat="1" applyFont="1" applyFill="1" applyAlignment="1">
      <alignment horizontal="left"/>
    </xf>
    <xf numFmtId="9" fontId="2" fillId="2" borderId="0" xfId="1" applyNumberFormat="1" applyFont="1" applyFill="1" applyAlignment="1">
      <alignment horizontal="right"/>
    </xf>
    <xf numFmtId="2" fontId="2" fillId="2" borderId="0" xfId="1" applyNumberFormat="1" applyFont="1" applyFill="1" applyAlignment="1">
      <alignment horizontal="right"/>
    </xf>
    <xf numFmtId="14" fontId="8" fillId="2" borderId="0" xfId="1" applyNumberFormat="1" applyFont="1" applyFill="1"/>
    <xf numFmtId="14" fontId="3" fillId="2" borderId="0" xfId="1" applyNumberFormat="1" applyFont="1" applyFill="1"/>
    <xf numFmtId="0" fontId="4" fillId="2" borderId="0" xfId="1" applyFont="1" applyFill="1" applyAlignment="1">
      <alignment horizontal="left"/>
    </xf>
    <xf numFmtId="0" fontId="6" fillId="2" borderId="0" xfId="1" applyFont="1" applyFill="1" applyAlignment="1">
      <alignment horizontal="right"/>
    </xf>
    <xf numFmtId="9" fontId="3" fillId="2" borderId="0" xfId="1" applyNumberFormat="1" applyFont="1" applyFill="1"/>
    <xf numFmtId="9" fontId="3" fillId="3" borderId="0" xfId="1" applyNumberFormat="1" applyFont="1" applyFill="1"/>
    <xf numFmtId="9" fontId="4" fillId="2" borderId="0" xfId="1" applyNumberFormat="1" applyFont="1" applyFill="1"/>
    <xf numFmtId="9" fontId="4" fillId="3" borderId="0" xfId="1" applyNumberFormat="1" applyFont="1" applyFill="1"/>
    <xf numFmtId="0" fontId="9" fillId="2" borderId="0" xfId="1" applyFont="1" applyFill="1" applyAlignment="1">
      <alignment horizontal="left"/>
    </xf>
    <xf numFmtId="3" fontId="9" fillId="2" borderId="0" xfId="1" applyNumberFormat="1" applyFont="1" applyFill="1"/>
    <xf numFmtId="165" fontId="9" fillId="2" borderId="0" xfId="1" applyNumberFormat="1" applyFont="1" applyFill="1"/>
    <xf numFmtId="166" fontId="9" fillId="2" borderId="0" xfId="1" applyNumberFormat="1" applyFont="1" applyFill="1"/>
    <xf numFmtId="2" fontId="9" fillId="2" borderId="0" xfId="1" applyNumberFormat="1" applyFont="1" applyFill="1"/>
    <xf numFmtId="2" fontId="9" fillId="2" borderId="0" xfId="1" quotePrefix="1" applyNumberFormat="1" applyFont="1" applyFill="1" applyAlignment="1">
      <alignment horizontal="right"/>
    </xf>
    <xf numFmtId="164" fontId="9" fillId="2" borderId="0" xfId="1" quotePrefix="1" applyNumberFormat="1" applyFont="1" applyFill="1" applyAlignment="1">
      <alignment horizontal="right"/>
    </xf>
    <xf numFmtId="14" fontId="9" fillId="2" borderId="0" xfId="1" applyNumberFormat="1" applyFont="1" applyFill="1"/>
    <xf numFmtId="1" fontId="9" fillId="2" borderId="0" xfId="1" applyNumberFormat="1" applyFont="1" applyFill="1"/>
    <xf numFmtId="0" fontId="1" fillId="2" borderId="0" xfId="1" applyFill="1"/>
    <xf numFmtId="166" fontId="2" fillId="2" borderId="0" xfId="1" applyNumberFormat="1" applyFont="1" applyFill="1"/>
    <xf numFmtId="164" fontId="2" fillId="2" borderId="0" xfId="1" quotePrefix="1" applyNumberFormat="1" applyFont="1" applyFill="1" applyAlignment="1">
      <alignment horizontal="right"/>
    </xf>
    <xf numFmtId="0" fontId="9" fillId="2" borderId="0" xfId="1" applyFont="1" applyFill="1" applyAlignment="1">
      <alignment horizontal="right"/>
    </xf>
    <xf numFmtId="0" fontId="2" fillId="2" borderId="0" xfId="1" quotePrefix="1" applyFont="1" applyFill="1" applyAlignment="1">
      <alignment horizontal="right"/>
    </xf>
    <xf numFmtId="0" fontId="10" fillId="2" borderId="0" xfId="1" quotePrefix="1" applyFont="1" applyFill="1" applyAlignment="1">
      <alignment horizontal="right"/>
    </xf>
    <xf numFmtId="0" fontId="9" fillId="2" borderId="0" xfId="1" applyFont="1" applyFill="1"/>
    <xf numFmtId="0" fontId="7" fillId="2" borderId="0" xfId="1" applyFont="1" applyFill="1" applyAlignment="1">
      <alignment horizontal="left"/>
    </xf>
    <xf numFmtId="0" fontId="7" fillId="2" borderId="0" xfId="1" quotePrefix="1" applyFont="1" applyFill="1" applyAlignment="1">
      <alignment horizontal="right"/>
    </xf>
    <xf numFmtId="0" fontId="11" fillId="2" borderId="0" xfId="1" applyFont="1" applyFill="1"/>
    <xf numFmtId="166" fontId="9" fillId="2" borderId="0" xfId="1" quotePrefix="1" applyNumberFormat="1" applyFont="1" applyFill="1" applyAlignment="1">
      <alignment horizontal="left"/>
    </xf>
    <xf numFmtId="164" fontId="11" fillId="2" borderId="0" xfId="1" applyNumberFormat="1" applyFont="1" applyFill="1"/>
    <xf numFmtId="166" fontId="11" fillId="2" borderId="0" xfId="1" applyNumberFormat="1" applyFont="1" applyFill="1"/>
    <xf numFmtId="164" fontId="9" fillId="2" borderId="0" xfId="1" applyNumberFormat="1" applyFont="1" applyFill="1"/>
    <xf numFmtId="164" fontId="9" fillId="2" borderId="0" xfId="1" applyNumberFormat="1" applyFont="1" applyFill="1" applyAlignment="1">
      <alignment horizontal="right"/>
    </xf>
    <xf numFmtId="3" fontId="3" fillId="2" borderId="0" xfId="1" applyNumberFormat="1" applyFont="1" applyFill="1"/>
    <xf numFmtId="165" fontId="3" fillId="2" borderId="0" xfId="1" applyNumberFormat="1" applyFont="1" applyFill="1"/>
    <xf numFmtId="9" fontId="3" fillId="2" borderId="0" xfId="2" applyFont="1" applyFill="1" applyBorder="1" applyProtection="1"/>
    <xf numFmtId="0" fontId="3" fillId="3" borderId="0" xfId="1" quotePrefix="1" applyFont="1" applyFill="1" applyAlignment="1">
      <alignment horizontal="left"/>
    </xf>
    <xf numFmtId="3" fontId="3" fillId="3" borderId="0" xfId="1" applyNumberFormat="1" applyFont="1" applyFill="1"/>
    <xf numFmtId="165" fontId="3" fillId="3" borderId="0" xfId="1" applyNumberFormat="1" applyFont="1" applyFill="1"/>
    <xf numFmtId="164" fontId="3" fillId="3" borderId="0" xfId="1" quotePrefix="1" applyNumberFormat="1" applyFont="1" applyFill="1" applyAlignment="1">
      <alignment horizontal="right"/>
    </xf>
    <xf numFmtId="9" fontId="3" fillId="3" borderId="0" xfId="2" applyFont="1" applyFill="1" applyBorder="1" applyProtection="1"/>
    <xf numFmtId="2" fontId="12" fillId="2" borderId="0" xfId="1" applyNumberFormat="1" applyFont="1" applyFill="1"/>
    <xf numFmtId="0" fontId="9" fillId="2" borderId="0" xfId="1" quotePrefix="1" applyFont="1" applyFill="1" applyAlignment="1">
      <alignment horizontal="left"/>
    </xf>
    <xf numFmtId="0" fontId="3" fillId="2" borderId="0" xfId="1" quotePrefix="1" applyFont="1" applyFill="1" applyAlignment="1">
      <alignment horizontal="left"/>
    </xf>
    <xf numFmtId="164" fontId="3" fillId="2" borderId="0" xfId="1" quotePrefix="1" applyNumberFormat="1" applyFont="1" applyFill="1" applyAlignment="1">
      <alignment horizontal="right"/>
    </xf>
    <xf numFmtId="0" fontId="13" fillId="2" borderId="0" xfId="1" applyFont="1" applyFill="1"/>
    <xf numFmtId="14" fontId="3" fillId="3" borderId="0" xfId="1" applyNumberFormat="1" applyFont="1" applyFill="1"/>
    <xf numFmtId="9" fontId="3" fillId="3" borderId="0" xfId="2" applyFont="1" applyFill="1"/>
    <xf numFmtId="3" fontId="4" fillId="3" borderId="0" xfId="1" applyNumberFormat="1" applyFont="1" applyFill="1"/>
    <xf numFmtId="165" fontId="4" fillId="3" borderId="0" xfId="1" applyNumberFormat="1" applyFont="1" applyFill="1"/>
    <xf numFmtId="14" fontId="4" fillId="3" borderId="0" xfId="1" applyNumberFormat="1" applyFont="1" applyFill="1"/>
    <xf numFmtId="9" fontId="4" fillId="3" borderId="0" xfId="2" applyFont="1" applyFill="1"/>
    <xf numFmtId="0" fontId="12" fillId="2" borderId="0" xfId="1" quotePrefix="1" applyFont="1" applyFill="1" applyAlignment="1">
      <alignment horizontal="left"/>
    </xf>
    <xf numFmtId="166" fontId="12" fillId="2" borderId="0" xfId="1" applyNumberFormat="1" applyFont="1" applyFill="1"/>
    <xf numFmtId="165" fontId="12" fillId="2" borderId="0" xfId="1" applyNumberFormat="1" applyFont="1" applyFill="1"/>
    <xf numFmtId="0" fontId="14" fillId="2" borderId="0" xfId="1" applyFont="1" applyFill="1"/>
    <xf numFmtId="2" fontId="15" fillId="2" borderId="0" xfId="1" applyNumberFormat="1" applyFont="1" applyFill="1"/>
    <xf numFmtId="164" fontId="9" fillId="2" borderId="0" xfId="1" applyNumberFormat="1" applyFont="1" applyFill="1" applyAlignment="1">
      <alignment horizontal="left"/>
    </xf>
    <xf numFmtId="2" fontId="9" fillId="2" borderId="0" xfId="1" applyNumberFormat="1" applyFont="1" applyFill="1" applyAlignment="1">
      <alignment horizontal="left"/>
    </xf>
    <xf numFmtId="9" fontId="9" fillId="2" borderId="0" xfId="1" applyNumberFormat="1" applyFont="1" applyFill="1"/>
    <xf numFmtId="0" fontId="16" fillId="2" borderId="0" xfId="1" applyFont="1" applyFill="1"/>
    <xf numFmtId="14" fontId="9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166" fontId="3" fillId="2" borderId="0" xfId="1" quotePrefix="1" applyNumberFormat="1" applyFont="1" applyFill="1" applyAlignment="1">
      <alignment horizontal="left" indent="1"/>
    </xf>
    <xf numFmtId="0" fontId="15" fillId="2" borderId="0" xfId="1" applyFont="1" applyFill="1"/>
    <xf numFmtId="1" fontId="1" fillId="2" borderId="0" xfId="1" applyNumberFormat="1" applyFill="1"/>
    <xf numFmtId="1" fontId="17" fillId="2" borderId="0" xfId="1" applyNumberFormat="1" applyFont="1" applyFill="1"/>
    <xf numFmtId="0" fontId="1" fillId="2" borderId="0" xfId="1" applyFill="1" applyAlignment="1">
      <alignment horizontal="right"/>
    </xf>
    <xf numFmtId="0" fontId="17" fillId="2" borderId="0" xfId="1" applyFont="1" applyFill="1"/>
    <xf numFmtId="0" fontId="15" fillId="2" borderId="0" xfId="1" applyFont="1" applyFill="1" applyAlignment="1">
      <alignment horizontal="left"/>
    </xf>
    <xf numFmtId="166" fontId="15" fillId="2" borderId="0" xfId="1" applyNumberFormat="1" applyFont="1" applyFill="1"/>
    <xf numFmtId="2" fontId="15" fillId="2" borderId="0" xfId="1" applyNumberFormat="1" applyFont="1" applyFill="1" applyAlignment="1">
      <alignment horizontal="right"/>
    </xf>
    <xf numFmtId="0" fontId="15" fillId="2" borderId="0" xfId="1" applyFont="1" applyFill="1" applyAlignment="1">
      <alignment horizontal="right"/>
    </xf>
    <xf numFmtId="1" fontId="15" fillId="2" borderId="0" xfId="1" applyNumberFormat="1" applyFont="1" applyFill="1"/>
    <xf numFmtId="166" fontId="18" fillId="2" borderId="0" xfId="1" applyNumberFormat="1" applyFont="1" applyFill="1"/>
    <xf numFmtId="166" fontId="1" fillId="2" borderId="0" xfId="1" applyNumberFormat="1" applyFill="1"/>
    <xf numFmtId="2" fontId="1" fillId="2" borderId="0" xfId="1" applyNumberFormat="1" applyFill="1"/>
    <xf numFmtId="2" fontId="1" fillId="2" borderId="0" xfId="1" applyNumberFormat="1" applyFill="1" applyAlignment="1">
      <alignment horizontal="right"/>
    </xf>
    <xf numFmtId="166" fontId="17" fillId="2" borderId="0" xfId="1" applyNumberFormat="1" applyFont="1" applyFill="1"/>
    <xf numFmtId="2" fontId="17" fillId="2" borderId="0" xfId="1" applyNumberFormat="1" applyFont="1" applyFill="1"/>
    <xf numFmtId="2" fontId="17" fillId="2" borderId="0" xfId="1" applyNumberFormat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7" fillId="2" borderId="0" xfId="1" applyFont="1" applyFill="1" applyAlignment="1">
      <alignment horizontal="left"/>
    </xf>
    <xf numFmtId="2" fontId="9" fillId="2" borderId="0" xfId="1" quotePrefix="1" applyNumberFormat="1" applyFont="1" applyFill="1" applyAlignment="1">
      <alignment horizontal="left"/>
    </xf>
    <xf numFmtId="164" fontId="3" fillId="2" borderId="0" xfId="1" applyNumberFormat="1" applyFont="1" applyFill="1"/>
    <xf numFmtId="16" fontId="9" fillId="2" borderId="0" xfId="1" applyNumberFormat="1" applyFont="1" applyFill="1"/>
    <xf numFmtId="0" fontId="3" fillId="4" borderId="0" xfId="1" applyFont="1" applyFill="1" applyAlignment="1">
      <alignment horizontal="left"/>
    </xf>
    <xf numFmtId="3" fontId="3" fillId="4" borderId="0" xfId="1" applyNumberFormat="1" applyFont="1" applyFill="1"/>
    <xf numFmtId="165" fontId="3" fillId="4" borderId="0" xfId="1" applyNumberFormat="1" applyFont="1" applyFill="1"/>
    <xf numFmtId="2" fontId="3" fillId="4" borderId="0" xfId="1" applyNumberFormat="1" applyFont="1" applyFill="1"/>
    <xf numFmtId="164" fontId="3" fillId="4" borderId="0" xfId="1" applyNumberFormat="1" applyFont="1" applyFill="1"/>
    <xf numFmtId="14" fontId="3" fillId="4" borderId="0" xfId="1" applyNumberFormat="1" applyFont="1" applyFill="1"/>
    <xf numFmtId="9" fontId="3" fillId="4" borderId="0" xfId="2" applyFont="1" applyFill="1" applyBorder="1" applyProtection="1"/>
    <xf numFmtId="1" fontId="3" fillId="4" borderId="0" xfId="1" applyNumberFormat="1" applyFont="1" applyFill="1"/>
    <xf numFmtId="164" fontId="4" fillId="3" borderId="0" xfId="1" applyNumberFormat="1" applyFont="1" applyFill="1"/>
    <xf numFmtId="9" fontId="4" fillId="3" borderId="0" xfId="2" applyFont="1" applyFill="1" applyBorder="1" applyProtection="1"/>
    <xf numFmtId="164" fontId="3" fillId="3" borderId="0" xfId="1" applyNumberFormat="1" applyFont="1" applyFill="1"/>
    <xf numFmtId="0" fontId="19" fillId="2" borderId="0" xfId="1" applyFont="1" applyFill="1"/>
    <xf numFmtId="166" fontId="9" fillId="2" borderId="0" xfId="1" quotePrefix="1" applyNumberFormat="1" applyFont="1" applyFill="1" applyAlignment="1">
      <alignment horizontal="left" indent="1"/>
    </xf>
    <xf numFmtId="14" fontId="9" fillId="2" borderId="0" xfId="1" quotePrefix="1" applyNumberFormat="1" applyFont="1" applyFill="1" applyAlignment="1">
      <alignment horizontal="left"/>
    </xf>
    <xf numFmtId="164" fontId="12" fillId="2" borderId="0" xfId="1" applyNumberFormat="1" applyFont="1" applyFill="1" applyAlignment="1">
      <alignment horizontal="left"/>
    </xf>
    <xf numFmtId="2" fontId="12" fillId="2" borderId="0" xfId="1" applyNumberFormat="1" applyFont="1" applyFill="1" applyAlignment="1">
      <alignment horizontal="left"/>
    </xf>
    <xf numFmtId="9" fontId="12" fillId="2" borderId="0" xfId="1" applyNumberFormat="1" applyFont="1" applyFill="1"/>
    <xf numFmtId="164" fontId="12" fillId="2" borderId="0" xfId="1" applyNumberFormat="1" applyFont="1" applyFill="1" applyAlignment="1">
      <alignment horizontal="right"/>
    </xf>
    <xf numFmtId="14" fontId="12" fillId="2" borderId="0" xfId="1" applyNumberFormat="1" applyFont="1" applyFill="1" applyAlignment="1">
      <alignment horizontal="right"/>
    </xf>
    <xf numFmtId="1" fontId="12" fillId="2" borderId="0" xfId="1" applyNumberFormat="1" applyFont="1" applyFill="1"/>
    <xf numFmtId="16" fontId="9" fillId="2" borderId="0" xfId="1" quotePrefix="1" applyNumberFormat="1" applyFont="1" applyFill="1"/>
    <xf numFmtId="164" fontId="15" fillId="2" borderId="0" xfId="1" applyNumberFormat="1" applyFont="1" applyFill="1" applyAlignment="1">
      <alignment horizontal="right"/>
    </xf>
    <xf numFmtId="2" fontId="16" fillId="2" borderId="0" xfId="1" applyNumberFormat="1" applyFont="1" applyFill="1"/>
    <xf numFmtId="2" fontId="9" fillId="2" borderId="0" xfId="1" applyNumberFormat="1" applyFont="1" applyFill="1" applyAlignment="1">
      <alignment horizontal="right"/>
    </xf>
    <xf numFmtId="166" fontId="3" fillId="2" borderId="0" xfId="1" applyNumberFormat="1" applyFont="1" applyFill="1"/>
    <xf numFmtId="2" fontId="3" fillId="2" borderId="0" xfId="1" quotePrefix="1" applyNumberFormat="1" applyFont="1" applyFill="1" applyAlignment="1">
      <alignment horizontal="left"/>
    </xf>
    <xf numFmtId="1" fontId="16" fillId="2" borderId="0" xfId="1" applyNumberFormat="1" applyFont="1" applyFill="1"/>
    <xf numFmtId="166" fontId="16" fillId="2" borderId="0" xfId="1" applyNumberFormat="1" applyFont="1" applyFill="1"/>
    <xf numFmtId="0" fontId="16" fillId="2" borderId="0" xfId="1" applyFont="1" applyFill="1" applyAlignment="1">
      <alignment horizontal="right"/>
    </xf>
    <xf numFmtId="0" fontId="16" fillId="2" borderId="0" xfId="1" applyFont="1" applyFill="1" applyAlignment="1">
      <alignment horizontal="left"/>
    </xf>
    <xf numFmtId="2" fontId="3" fillId="3" borderId="0" xfId="1" quotePrefix="1" applyNumberFormat="1" applyFont="1" applyFill="1"/>
    <xf numFmtId="9" fontId="3" fillId="3" borderId="0" xfId="1" applyNumberFormat="1" applyFont="1" applyFill="1" applyAlignment="1">
      <alignment horizontal="right"/>
    </xf>
    <xf numFmtId="9" fontId="3" fillId="2" borderId="0" xfId="1" applyNumberFormat="1" applyFont="1" applyFill="1" applyAlignment="1">
      <alignment horizontal="right"/>
    </xf>
    <xf numFmtId="164" fontId="4" fillId="2" borderId="0" xfId="1" applyNumberFormat="1" applyFont="1" applyFill="1" applyAlignment="1">
      <alignment horizontal="right"/>
    </xf>
    <xf numFmtId="2" fontId="4" fillId="2" borderId="0" xfId="1" quotePrefix="1" applyNumberFormat="1" applyFont="1" applyFill="1"/>
    <xf numFmtId="9" fontId="4" fillId="2" borderId="0" xfId="1" applyNumberFormat="1" applyFont="1" applyFill="1" applyAlignment="1">
      <alignment horizontal="right"/>
    </xf>
    <xf numFmtId="2" fontId="3" fillId="2" borderId="0" xfId="1" quotePrefix="1" applyNumberFormat="1" applyFont="1" applyFill="1"/>
    <xf numFmtId="14" fontId="8" fillId="2" borderId="0" xfId="1" applyNumberFormat="1" applyFont="1" applyFill="1" applyAlignment="1">
      <alignment horizontal="right"/>
    </xf>
    <xf numFmtId="9" fontId="3" fillId="2" borderId="0" xfId="1" applyNumberFormat="1" applyFont="1" applyFill="1" applyAlignment="1">
      <alignment horizontal="left"/>
    </xf>
    <xf numFmtId="15" fontId="3" fillId="2" borderId="0" xfId="1" applyNumberFormat="1" applyFont="1" applyFill="1"/>
    <xf numFmtId="167" fontId="3" fillId="2" borderId="0" xfId="1" applyNumberFormat="1" applyFont="1" applyFill="1"/>
    <xf numFmtId="0" fontId="4" fillId="2" borderId="0" xfId="1" quotePrefix="1" applyFont="1" applyFill="1" applyAlignment="1">
      <alignment horizontal="left"/>
    </xf>
    <xf numFmtId="166" fontId="2" fillId="2" borderId="0" xfId="1" applyNumberFormat="1" applyFont="1" applyFill="1" applyAlignment="1">
      <alignment horizontal="right"/>
    </xf>
    <xf numFmtId="164" fontId="7" fillId="2" borderId="0" xfId="1" applyNumberFormat="1" applyFont="1" applyFill="1" applyAlignment="1">
      <alignment horizontal="right"/>
    </xf>
    <xf numFmtId="0" fontId="7" fillId="2" borderId="0" xfId="1" quotePrefix="1" applyFont="1" applyFill="1" applyAlignment="1">
      <alignment horizontal="left"/>
    </xf>
    <xf numFmtId="2" fontId="3" fillId="2" borderId="0" xfId="1" applyNumberFormat="1" applyFont="1" applyFill="1" applyAlignment="1">
      <alignment horizontal="right"/>
    </xf>
    <xf numFmtId="9" fontId="3" fillId="2" borderId="0" xfId="3" applyFont="1" applyFill="1" applyProtection="1"/>
    <xf numFmtId="166" fontId="3" fillId="3" borderId="0" xfId="1" applyNumberFormat="1" applyFont="1" applyFill="1"/>
    <xf numFmtId="2" fontId="3" fillId="3" borderId="0" xfId="1" applyNumberFormat="1" applyFont="1" applyFill="1" applyAlignment="1">
      <alignment horizontal="right"/>
    </xf>
    <xf numFmtId="0" fontId="3" fillId="3" borderId="0" xfId="1" applyFont="1" applyFill="1" applyAlignment="1">
      <alignment horizontal="right"/>
    </xf>
    <xf numFmtId="9" fontId="3" fillId="3" borderId="0" xfId="3" applyFont="1" applyFill="1" applyProtection="1"/>
    <xf numFmtId="9" fontId="3" fillId="2" borderId="0" xfId="3" applyFont="1" applyFill="1"/>
    <xf numFmtId="9" fontId="4" fillId="2" borderId="0" xfId="3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0" fontId="4" fillId="3" borderId="0" xfId="1" quotePrefix="1" applyFont="1" applyFill="1" applyAlignment="1">
      <alignment horizontal="left"/>
    </xf>
    <xf numFmtId="166" fontId="4" fillId="3" borderId="0" xfId="1" applyNumberFormat="1" applyFont="1" applyFill="1"/>
    <xf numFmtId="2" fontId="4" fillId="3" borderId="0" xfId="1" applyNumberFormat="1" applyFont="1" applyFill="1" applyAlignment="1">
      <alignment horizontal="right"/>
    </xf>
    <xf numFmtId="9" fontId="4" fillId="3" borderId="0" xfId="3" applyFont="1" applyFill="1" applyProtection="1"/>
    <xf numFmtId="14" fontId="2" fillId="2" borderId="0" xfId="1" applyNumberFormat="1" applyFont="1" applyFill="1" applyAlignment="1">
      <alignment horizontal="left"/>
    </xf>
    <xf numFmtId="9" fontId="2" fillId="2" borderId="0" xfId="3" applyFont="1" applyFill="1"/>
    <xf numFmtId="0" fontId="7" fillId="2" borderId="0" xfId="1" quotePrefix="1" applyFont="1" applyFill="1" applyAlignment="1">
      <alignment horizontal="center"/>
    </xf>
    <xf numFmtId="0" fontId="21" fillId="2" borderId="0" xfId="1" applyFont="1" applyFill="1" applyAlignment="1">
      <alignment horizontal="left"/>
    </xf>
    <xf numFmtId="0" fontId="21" fillId="2" borderId="0" xfId="1" quotePrefix="1" applyFont="1" applyFill="1" applyAlignment="1">
      <alignment horizontal="right"/>
    </xf>
    <xf numFmtId="0" fontId="21" fillId="2" borderId="0" xfId="1" applyFont="1" applyFill="1" applyAlignment="1">
      <alignment horizontal="right"/>
    </xf>
    <xf numFmtId="164" fontId="21" fillId="2" borderId="0" xfId="1" applyNumberFormat="1" applyFont="1" applyFill="1" applyAlignment="1">
      <alignment horizontal="right"/>
    </xf>
    <xf numFmtId="14" fontId="3" fillId="2" borderId="0" xfId="1" applyNumberFormat="1" applyFont="1" applyFill="1" applyAlignment="1">
      <alignment horizontal="left"/>
    </xf>
    <xf numFmtId="166" fontId="4" fillId="2" borderId="0" xfId="1" applyNumberFormat="1" applyFont="1" applyFill="1"/>
    <xf numFmtId="14" fontId="4" fillId="2" borderId="0" xfId="1" applyNumberFormat="1" applyFont="1" applyFill="1" applyAlignment="1">
      <alignment horizontal="left"/>
    </xf>
    <xf numFmtId="9" fontId="4" fillId="2" borderId="0" xfId="3" applyFont="1" applyFill="1" applyProtection="1"/>
    <xf numFmtId="2" fontId="4" fillId="2" borderId="0" xfId="1" applyNumberFormat="1" applyFont="1" applyFill="1" applyAlignment="1">
      <alignment horizontal="right"/>
    </xf>
    <xf numFmtId="0" fontId="4" fillId="2" borderId="0" xfId="1" applyFont="1" applyFill="1" applyAlignment="1">
      <alignment horizontal="right"/>
    </xf>
    <xf numFmtId="165" fontId="4" fillId="2" borderId="0" xfId="1" applyNumberFormat="1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22" fillId="2" borderId="0" xfId="0" applyFont="1" applyFill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/>
    </xf>
    <xf numFmtId="0" fontId="23" fillId="2" borderId="0" xfId="0" applyFont="1" applyFill="1" applyAlignment="1">
      <alignment horizontal="center"/>
    </xf>
    <xf numFmtId="0" fontId="24" fillId="3" borderId="4" xfId="0" applyFont="1" applyFill="1" applyBorder="1" applyAlignment="1">
      <alignment horizontal="center"/>
    </xf>
    <xf numFmtId="168" fontId="24" fillId="3" borderId="4" xfId="0" applyNumberFormat="1" applyFont="1" applyFill="1" applyBorder="1" applyAlignment="1">
      <alignment horizontal="center"/>
    </xf>
    <xf numFmtId="14" fontId="24" fillId="3" borderId="5" xfId="0" applyNumberFormat="1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9" fontId="0" fillId="0" borderId="0" xfId="0" applyNumberFormat="1"/>
    <xf numFmtId="0" fontId="24" fillId="2" borderId="4" xfId="0" applyFont="1" applyFill="1" applyBorder="1" applyAlignment="1">
      <alignment horizontal="center"/>
    </xf>
    <xf numFmtId="168" fontId="24" fillId="2" borderId="4" xfId="0" applyNumberFormat="1" applyFont="1" applyFill="1" applyBorder="1" applyAlignment="1">
      <alignment horizontal="center"/>
    </xf>
    <xf numFmtId="14" fontId="24" fillId="2" borderId="5" xfId="0" applyNumberFormat="1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4">
    <cellStyle name="Normal" xfId="0" builtinId="0"/>
    <cellStyle name="Normal 6" xfId="1" xr:uid="{28349296-CD4D-4519-8739-75CA1315226D}"/>
    <cellStyle name="Percent 2" xfId="2" xr:uid="{1FE12E7C-D674-47A8-B4BE-B2501D72D11D}"/>
    <cellStyle name="Percent 3" xfId="3" xr:uid="{C8D517FA-93A3-459E-B46F-8BBF10014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</xdr:colOff>
      <xdr:row>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34D4AD-2D1F-4540-82A6-4A62DB4E35B9}"/>
            </a:ext>
          </a:extLst>
        </xdr:cNvPr>
        <xdr:cNvSpPr txBox="1"/>
      </xdr:nvSpPr>
      <xdr:spPr>
        <a:xfrm>
          <a:off x="8686800" y="5905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57150</xdr:colOff>
      <xdr:row>4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0FA63A-82DD-4270-9AFF-9B7126D2B333}"/>
            </a:ext>
          </a:extLst>
        </xdr:cNvPr>
        <xdr:cNvSpPr txBox="1"/>
      </xdr:nvSpPr>
      <xdr:spPr>
        <a:xfrm>
          <a:off x="8686800" y="790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57150</xdr:colOff>
      <xdr:row>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6F6CDF-3752-4BF9-A68F-7AC0F5E39DC6}"/>
            </a:ext>
          </a:extLst>
        </xdr:cNvPr>
        <xdr:cNvSpPr txBox="1"/>
      </xdr:nvSpPr>
      <xdr:spPr>
        <a:xfrm>
          <a:off x="8686800" y="99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10</xdr:col>
      <xdr:colOff>57150</xdr:colOff>
      <xdr:row>6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4B0A55C-3DCA-472D-83E2-1983388E660B}"/>
            </a:ext>
          </a:extLst>
        </xdr:cNvPr>
        <xdr:cNvSpPr txBox="1"/>
      </xdr:nvSpPr>
      <xdr:spPr>
        <a:xfrm>
          <a:off x="8686800" y="11906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psicom.sharepoint.com/sites/jsacore/Shared%20Documents/Research%20Analyst/Reports/Market%20Views/Tools/Market%20Views%20Workbook%2004092026.xlsx" TargetMode="External"/><Relationship Id="rId1" Type="http://schemas.openxmlformats.org/officeDocument/2006/relationships/externalLinkPath" Target="https://jpsicom.sharepoint.com/sites/jsacore/Shared%20Documents/Research%20Analyst/Reports/Market%20Views/Tools/Market%20Views%20Workbook%200409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ukeLeder/John%20Stewart%20and%20Associates/JSA%20-%20Documents/Research%20Analyst/Reports/Market%20Views/Tools/Archived%20Tools/Market%20Views%20Workbook%2002102025.xlsx" TargetMode="External"/><Relationship Id="rId2" Type="http://schemas.openxmlformats.org/officeDocument/2006/relationships/externalLinkPath" Target="https://jpsicom.sharepoint.com/sites/jsacore/Shared%20Documents/Research%20Analyst/Reports/Market%20Views/Tools/Archived%20Tools/Market%20Views%20Workbook%2002102025.xlsx" TargetMode="External"/><Relationship Id="rId1" Type="http://schemas.openxmlformats.org/officeDocument/2006/relationships/externalLinkPath" Target="/Users/LukeLeder/John%20Stewart%20and%20Associates/JSA%20-%20Documents/Research%20Analyst/Reports/Market%20Views/Tools/Archived%20Tools/Market%20Views%20Workbook%2002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D Snapshot"/>
      <sheetName val="US S&amp;D"/>
      <sheetName val="Corn Data"/>
      <sheetName val="Wheat Data"/>
      <sheetName val="SX Low"/>
      <sheetName val="SX High"/>
      <sheetName val="SN Low"/>
      <sheetName val="SN High"/>
      <sheetName val="CZ  Low"/>
      <sheetName val="CZ High"/>
      <sheetName val="CN Low"/>
      <sheetName val="CN High"/>
      <sheetName val="HL Price Snapshot"/>
      <sheetName val="PSD Tables"/>
      <sheetName val="Corn PSD"/>
      <sheetName val="Soybean PSD"/>
      <sheetName val="Wheat PSD"/>
      <sheetName val="Corn Tables"/>
      <sheetName val="Soybean Tables"/>
      <sheetName val="Wheat Tables"/>
      <sheetName val="Soybean Data #1"/>
      <sheetName val="Soybean Data (MB)"/>
    </sheetNames>
    <sheetDataSet>
      <sheetData sheetId="0" refreshError="1"/>
      <sheetData sheetId="1" refreshError="1"/>
      <sheetData sheetId="2">
        <row r="1">
          <cell r="A1" t="str">
            <v>Marketing Year</v>
          </cell>
          <cell r="B1" t="str">
            <v>Q#/MY</v>
          </cell>
          <cell r="D1" t="str">
            <v>Beginning stocks</v>
          </cell>
          <cell r="E1" t="str">
            <v>Production</v>
          </cell>
          <cell r="F1" t="str">
            <v>Imports</v>
          </cell>
          <cell r="G1" t="str">
            <v>Total supply 2/</v>
          </cell>
          <cell r="J1" t="str">
            <v>Feed and residual use</v>
          </cell>
          <cell r="K1" t="str">
            <v>Total Domestic Use</v>
          </cell>
          <cell r="L1" t="str">
            <v>Exports</v>
          </cell>
          <cell r="M1" t="str">
            <v>Total Dissappearance</v>
          </cell>
          <cell r="N1" t="str">
            <v>Ending stocks</v>
          </cell>
          <cell r="O1" t="str">
            <v>Fuel Ethanol</v>
          </cell>
          <cell r="P1" t="str">
            <v>Food, Seed, Industrial</v>
          </cell>
        </row>
        <row r="2">
          <cell r="A2" t="str">
            <v>1975/76</v>
          </cell>
          <cell r="B2" t="str">
            <v>Q1</v>
          </cell>
          <cell r="D2">
            <v>558</v>
          </cell>
          <cell r="E2">
            <v>5841</v>
          </cell>
          <cell r="F2">
            <v>0.24</v>
          </cell>
          <cell r="G2">
            <v>6399</v>
          </cell>
          <cell r="J2">
            <v>928</v>
          </cell>
          <cell r="K2">
            <v>1051</v>
          </cell>
          <cell r="L2">
            <v>373</v>
          </cell>
          <cell r="M2">
            <v>1424</v>
          </cell>
          <cell r="N2">
            <v>4975</v>
          </cell>
        </row>
        <row r="3">
          <cell r="A3" t="str">
            <v>1975/76</v>
          </cell>
          <cell r="B3" t="str">
            <v>Q2</v>
          </cell>
          <cell r="D3">
            <v>4975</v>
          </cell>
          <cell r="F3">
            <v>0.6</v>
          </cell>
          <cell r="G3">
            <v>4975</v>
          </cell>
          <cell r="J3">
            <v>1060</v>
          </cell>
          <cell r="K3">
            <v>1175</v>
          </cell>
          <cell r="L3">
            <v>427</v>
          </cell>
          <cell r="M3">
            <v>1602</v>
          </cell>
          <cell r="N3">
            <v>3374</v>
          </cell>
        </row>
        <row r="4">
          <cell r="A4" t="str">
            <v>1975/76</v>
          </cell>
          <cell r="B4" t="str">
            <v>Q3</v>
          </cell>
          <cell r="D4">
            <v>3374</v>
          </cell>
          <cell r="F4">
            <v>0.21</v>
          </cell>
          <cell r="G4">
            <v>3374</v>
          </cell>
          <cell r="J4">
            <v>913</v>
          </cell>
          <cell r="K4">
            <v>1059</v>
          </cell>
          <cell r="L4">
            <v>446</v>
          </cell>
          <cell r="M4">
            <v>1505</v>
          </cell>
          <cell r="N4">
            <v>1869</v>
          </cell>
        </row>
        <row r="5">
          <cell r="A5" t="str">
            <v>1975/76</v>
          </cell>
          <cell r="B5" t="str">
            <v>Q4</v>
          </cell>
          <cell r="D5">
            <v>1869</v>
          </cell>
          <cell r="F5">
            <v>0.46</v>
          </cell>
          <cell r="G5">
            <v>1869</v>
          </cell>
          <cell r="J5">
            <v>681</v>
          </cell>
          <cell r="K5">
            <v>818</v>
          </cell>
          <cell r="L5">
            <v>418</v>
          </cell>
          <cell r="M5">
            <v>1236</v>
          </cell>
          <cell r="N5">
            <v>633</v>
          </cell>
        </row>
        <row r="6">
          <cell r="A6" t="str">
            <v>1975/76</v>
          </cell>
          <cell r="B6" t="str">
            <v>MY</v>
          </cell>
          <cell r="D6">
            <v>558</v>
          </cell>
          <cell r="E6">
            <v>5841</v>
          </cell>
          <cell r="F6">
            <v>1.5</v>
          </cell>
          <cell r="G6">
            <v>6400</v>
          </cell>
          <cell r="J6">
            <v>3582</v>
          </cell>
          <cell r="K6">
            <v>4103</v>
          </cell>
          <cell r="L6">
            <v>1664</v>
          </cell>
          <cell r="M6">
            <v>5767</v>
          </cell>
          <cell r="N6">
            <v>633</v>
          </cell>
        </row>
        <row r="7">
          <cell r="B7" t="str">
            <v/>
          </cell>
        </row>
        <row r="8">
          <cell r="A8" t="str">
            <v>1976/77</v>
          </cell>
          <cell r="B8" t="str">
            <v>Q1</v>
          </cell>
          <cell r="D8">
            <v>633</v>
          </cell>
          <cell r="E8">
            <v>6289</v>
          </cell>
          <cell r="F8">
            <v>0.49</v>
          </cell>
          <cell r="G8">
            <v>6923</v>
          </cell>
          <cell r="J8">
            <v>937</v>
          </cell>
          <cell r="K8">
            <v>1067</v>
          </cell>
          <cell r="L8">
            <v>469</v>
          </cell>
          <cell r="M8">
            <v>1536</v>
          </cell>
          <cell r="N8">
            <v>5387</v>
          </cell>
        </row>
        <row r="9">
          <cell r="A9" t="str">
            <v>1976/77</v>
          </cell>
          <cell r="B9" t="str">
            <v>Q2</v>
          </cell>
          <cell r="D9">
            <v>5387</v>
          </cell>
          <cell r="F9">
            <v>0.39</v>
          </cell>
          <cell r="G9">
            <v>5388</v>
          </cell>
          <cell r="J9">
            <v>1039</v>
          </cell>
          <cell r="K9">
            <v>1157</v>
          </cell>
          <cell r="L9">
            <v>383</v>
          </cell>
          <cell r="M9">
            <v>1539</v>
          </cell>
          <cell r="N9">
            <v>3848</v>
          </cell>
        </row>
        <row r="10">
          <cell r="A10" t="str">
            <v>1976/77</v>
          </cell>
          <cell r="B10" t="str">
            <v>Q3</v>
          </cell>
          <cell r="D10">
            <v>3848</v>
          </cell>
          <cell r="F10">
            <v>0.53</v>
          </cell>
          <cell r="G10">
            <v>3849</v>
          </cell>
          <cell r="J10">
            <v>900</v>
          </cell>
          <cell r="K10">
            <v>1048</v>
          </cell>
          <cell r="L10">
            <v>431</v>
          </cell>
          <cell r="M10">
            <v>1479</v>
          </cell>
          <cell r="N10">
            <v>2370</v>
          </cell>
        </row>
        <row r="11">
          <cell r="A11" t="str">
            <v>1976/77</v>
          </cell>
          <cell r="B11" t="str">
            <v>Q4</v>
          </cell>
          <cell r="D11">
            <v>2370</v>
          </cell>
          <cell r="F11">
            <v>1.02</v>
          </cell>
          <cell r="G11">
            <v>2371</v>
          </cell>
          <cell r="J11">
            <v>727</v>
          </cell>
          <cell r="K11">
            <v>873</v>
          </cell>
          <cell r="L11">
            <v>363</v>
          </cell>
          <cell r="M11">
            <v>1235</v>
          </cell>
          <cell r="N11">
            <v>1136</v>
          </cell>
        </row>
        <row r="12">
          <cell r="A12" t="str">
            <v>1976/77</v>
          </cell>
          <cell r="B12" t="str">
            <v>MY</v>
          </cell>
          <cell r="D12">
            <v>633</v>
          </cell>
          <cell r="E12">
            <v>6289</v>
          </cell>
          <cell r="F12">
            <v>2.4300000000000002</v>
          </cell>
          <cell r="G12">
            <v>6925</v>
          </cell>
          <cell r="J12">
            <v>3602</v>
          </cell>
          <cell r="K12">
            <v>4144</v>
          </cell>
          <cell r="L12">
            <v>1645</v>
          </cell>
          <cell r="M12">
            <v>5789</v>
          </cell>
          <cell r="N12">
            <v>1136</v>
          </cell>
        </row>
        <row r="13">
          <cell r="B13" t="str">
            <v/>
          </cell>
        </row>
        <row r="14">
          <cell r="A14" t="str">
            <v>1977/78</v>
          </cell>
          <cell r="B14" t="str">
            <v>Q1</v>
          </cell>
          <cell r="D14">
            <v>1136</v>
          </cell>
          <cell r="E14">
            <v>6505</v>
          </cell>
          <cell r="F14">
            <v>0.64</v>
          </cell>
          <cell r="G14">
            <v>7641</v>
          </cell>
          <cell r="J14">
            <v>1017</v>
          </cell>
          <cell r="K14">
            <v>1155</v>
          </cell>
          <cell r="L14">
            <v>399</v>
          </cell>
          <cell r="M14">
            <v>1555</v>
          </cell>
          <cell r="N14">
            <v>6087</v>
          </cell>
        </row>
        <row r="15">
          <cell r="A15" t="str">
            <v>1977/78</v>
          </cell>
          <cell r="B15" t="str">
            <v>Q2</v>
          </cell>
          <cell r="D15">
            <v>6087</v>
          </cell>
          <cell r="F15">
            <v>0.66</v>
          </cell>
          <cell r="G15">
            <v>6087</v>
          </cell>
          <cell r="J15">
            <v>1069</v>
          </cell>
          <cell r="K15">
            <v>1198</v>
          </cell>
          <cell r="L15">
            <v>408</v>
          </cell>
          <cell r="M15">
            <v>1606</v>
          </cell>
          <cell r="N15">
            <v>4482</v>
          </cell>
        </row>
        <row r="16">
          <cell r="A16" t="str">
            <v>1977/78</v>
          </cell>
          <cell r="B16" t="str">
            <v>Q3</v>
          </cell>
          <cell r="D16">
            <v>4482</v>
          </cell>
          <cell r="F16">
            <v>0.53</v>
          </cell>
          <cell r="G16">
            <v>4482</v>
          </cell>
          <cell r="J16">
            <v>939</v>
          </cell>
          <cell r="K16">
            <v>1097</v>
          </cell>
          <cell r="L16">
            <v>524</v>
          </cell>
          <cell r="M16">
            <v>1621</v>
          </cell>
          <cell r="N16">
            <v>2861</v>
          </cell>
        </row>
        <row r="17">
          <cell r="A17" t="str">
            <v>1977/78</v>
          </cell>
          <cell r="B17" t="str">
            <v>Q4</v>
          </cell>
          <cell r="D17">
            <v>2861</v>
          </cell>
          <cell r="F17">
            <v>0.56999999999999995</v>
          </cell>
          <cell r="G17">
            <v>2862</v>
          </cell>
          <cell r="J17">
            <v>704</v>
          </cell>
          <cell r="K17">
            <v>861</v>
          </cell>
          <cell r="L17">
            <v>565</v>
          </cell>
          <cell r="M17">
            <v>1426</v>
          </cell>
          <cell r="N17">
            <v>1436</v>
          </cell>
        </row>
        <row r="18">
          <cell r="A18" t="str">
            <v>1977/78</v>
          </cell>
          <cell r="B18" t="str">
            <v>MY</v>
          </cell>
          <cell r="D18">
            <v>1136</v>
          </cell>
          <cell r="E18">
            <v>6505</v>
          </cell>
          <cell r="F18">
            <v>2.4</v>
          </cell>
          <cell r="G18">
            <v>7643</v>
          </cell>
          <cell r="J18">
            <v>3730</v>
          </cell>
          <cell r="K18">
            <v>4311</v>
          </cell>
          <cell r="L18">
            <v>1896</v>
          </cell>
          <cell r="M18">
            <v>6207</v>
          </cell>
          <cell r="N18">
            <v>1436</v>
          </cell>
        </row>
        <row r="19">
          <cell r="B19" t="str">
            <v/>
          </cell>
        </row>
        <row r="20">
          <cell r="A20" t="str">
            <v>1978/79</v>
          </cell>
          <cell r="B20" t="str">
            <v>Q1</v>
          </cell>
          <cell r="D20">
            <v>1436</v>
          </cell>
          <cell r="E20">
            <v>7268</v>
          </cell>
          <cell r="F20">
            <v>0.14000000000000001</v>
          </cell>
          <cell r="G20">
            <v>8704</v>
          </cell>
          <cell r="J20">
            <v>1160</v>
          </cell>
          <cell r="K20">
            <v>1307</v>
          </cell>
          <cell r="L20">
            <v>469</v>
          </cell>
          <cell r="M20">
            <v>1776</v>
          </cell>
          <cell r="N20">
            <v>6928</v>
          </cell>
        </row>
        <row r="21">
          <cell r="A21" t="str">
            <v>1978/79</v>
          </cell>
          <cell r="B21" t="str">
            <v>Q2</v>
          </cell>
          <cell r="D21">
            <v>6928</v>
          </cell>
          <cell r="F21">
            <v>0.3</v>
          </cell>
          <cell r="G21">
            <v>6929</v>
          </cell>
          <cell r="J21">
            <v>1229</v>
          </cell>
          <cell r="K21">
            <v>1364</v>
          </cell>
          <cell r="L21">
            <v>413</v>
          </cell>
          <cell r="M21">
            <v>1777</v>
          </cell>
          <cell r="N21">
            <v>5151</v>
          </cell>
        </row>
        <row r="22">
          <cell r="A22" t="str">
            <v>1978/79</v>
          </cell>
          <cell r="B22" t="str">
            <v>Q3</v>
          </cell>
          <cell r="D22">
            <v>5151</v>
          </cell>
          <cell r="F22">
            <v>0.3</v>
          </cell>
          <cell r="G22">
            <v>5151</v>
          </cell>
          <cell r="J22">
            <v>1136</v>
          </cell>
          <cell r="K22">
            <v>1310</v>
          </cell>
          <cell r="L22">
            <v>555</v>
          </cell>
          <cell r="M22">
            <v>1864</v>
          </cell>
          <cell r="N22">
            <v>3287</v>
          </cell>
        </row>
        <row r="23">
          <cell r="A23" t="str">
            <v>1978/79</v>
          </cell>
          <cell r="B23" t="str">
            <v>Q4</v>
          </cell>
          <cell r="D23">
            <v>3287</v>
          </cell>
          <cell r="F23">
            <v>0.42</v>
          </cell>
          <cell r="G23">
            <v>3288</v>
          </cell>
          <cell r="J23">
            <v>749</v>
          </cell>
          <cell r="K23">
            <v>902</v>
          </cell>
          <cell r="L23">
            <v>676</v>
          </cell>
          <cell r="M23">
            <v>1578</v>
          </cell>
          <cell r="N23">
            <v>1710</v>
          </cell>
        </row>
        <row r="24">
          <cell r="A24" t="str">
            <v>1978/79</v>
          </cell>
          <cell r="B24" t="str">
            <v>MY</v>
          </cell>
          <cell r="D24">
            <v>1436</v>
          </cell>
          <cell r="E24">
            <v>7268</v>
          </cell>
          <cell r="F24">
            <v>1.1499999999999999</v>
          </cell>
          <cell r="G24">
            <v>8705</v>
          </cell>
          <cell r="J24">
            <v>4274</v>
          </cell>
          <cell r="K24">
            <v>4882</v>
          </cell>
          <cell r="L24">
            <v>2113</v>
          </cell>
          <cell r="M24">
            <v>6995</v>
          </cell>
          <cell r="N24">
            <v>1710</v>
          </cell>
        </row>
        <row r="25">
          <cell r="B25" t="str">
            <v/>
          </cell>
        </row>
        <row r="26">
          <cell r="A26" t="str">
            <v>1979/80</v>
          </cell>
          <cell r="B26" t="str">
            <v>Q1</v>
          </cell>
          <cell r="D26">
            <v>1710</v>
          </cell>
          <cell r="E26">
            <v>7928</v>
          </cell>
          <cell r="F26">
            <v>0.22</v>
          </cell>
          <cell r="G26">
            <v>9638</v>
          </cell>
          <cell r="J26">
            <v>1271</v>
          </cell>
          <cell r="K26">
            <v>1422</v>
          </cell>
          <cell r="L26">
            <v>621</v>
          </cell>
          <cell r="M26">
            <v>2044</v>
          </cell>
          <cell r="N26">
            <v>7594</v>
          </cell>
        </row>
        <row r="27">
          <cell r="A27" t="str">
            <v>1979/80</v>
          </cell>
          <cell r="B27" t="str">
            <v>Q2</v>
          </cell>
          <cell r="D27">
            <v>7594</v>
          </cell>
          <cell r="F27">
            <v>0.17</v>
          </cell>
          <cell r="G27">
            <v>7594</v>
          </cell>
          <cell r="J27">
            <v>1299</v>
          </cell>
          <cell r="K27">
            <v>1440</v>
          </cell>
          <cell r="L27">
            <v>598</v>
          </cell>
          <cell r="M27">
            <v>2037</v>
          </cell>
          <cell r="N27">
            <v>5557</v>
          </cell>
        </row>
        <row r="28">
          <cell r="A28" t="str">
            <v>1979/80</v>
          </cell>
          <cell r="B28" t="str">
            <v>Q3</v>
          </cell>
          <cell r="D28">
            <v>5557</v>
          </cell>
          <cell r="F28">
            <v>0.2</v>
          </cell>
          <cell r="G28">
            <v>5557</v>
          </cell>
          <cell r="J28">
            <v>1150</v>
          </cell>
          <cell r="K28">
            <v>1325</v>
          </cell>
          <cell r="L28">
            <v>588</v>
          </cell>
          <cell r="M28">
            <v>1913</v>
          </cell>
          <cell r="N28">
            <v>3644</v>
          </cell>
        </row>
        <row r="29">
          <cell r="A29" t="str">
            <v>1979/80</v>
          </cell>
          <cell r="B29" t="str">
            <v>Q4</v>
          </cell>
          <cell r="D29">
            <v>3644</v>
          </cell>
          <cell r="F29">
            <v>0.14000000000000001</v>
          </cell>
          <cell r="G29">
            <v>3644</v>
          </cell>
          <cell r="J29">
            <v>843</v>
          </cell>
          <cell r="K29">
            <v>1015</v>
          </cell>
          <cell r="L29">
            <v>595</v>
          </cell>
          <cell r="M29">
            <v>1610</v>
          </cell>
          <cell r="N29">
            <v>2034</v>
          </cell>
        </row>
        <row r="30">
          <cell r="A30" t="str">
            <v>1979/80</v>
          </cell>
          <cell r="B30" t="str">
            <v>MY</v>
          </cell>
          <cell r="D30">
            <v>1710</v>
          </cell>
          <cell r="E30">
            <v>7928</v>
          </cell>
          <cell r="F30">
            <v>0.72</v>
          </cell>
          <cell r="G30">
            <v>9638</v>
          </cell>
          <cell r="J30">
            <v>4563</v>
          </cell>
          <cell r="K30">
            <v>5203</v>
          </cell>
          <cell r="L30">
            <v>2402</v>
          </cell>
          <cell r="M30">
            <v>7604</v>
          </cell>
          <cell r="N30">
            <v>2034</v>
          </cell>
        </row>
        <row r="31">
          <cell r="B31" t="str">
            <v/>
          </cell>
        </row>
        <row r="32">
          <cell r="A32" t="str">
            <v>1980/81</v>
          </cell>
          <cell r="B32" t="str">
            <v>Q1</v>
          </cell>
          <cell r="D32">
            <v>2034</v>
          </cell>
          <cell r="E32">
            <v>6639</v>
          </cell>
          <cell r="F32">
            <v>0.28999999999999998</v>
          </cell>
          <cell r="G32">
            <v>8674</v>
          </cell>
          <cell r="J32">
            <v>1236</v>
          </cell>
          <cell r="K32">
            <v>1390</v>
          </cell>
          <cell r="L32">
            <v>688</v>
          </cell>
          <cell r="M32">
            <v>2078</v>
          </cell>
          <cell r="N32">
            <v>6596</v>
          </cell>
          <cell r="P32">
            <v>154.5</v>
          </cell>
        </row>
        <row r="33">
          <cell r="A33" t="str">
            <v>1980/81</v>
          </cell>
          <cell r="B33" t="str">
            <v>Q2</v>
          </cell>
          <cell r="D33">
            <v>6596</v>
          </cell>
          <cell r="F33">
            <v>0</v>
          </cell>
          <cell r="G33">
            <v>6596</v>
          </cell>
          <cell r="J33">
            <v>1143</v>
          </cell>
          <cell r="K33">
            <v>1288</v>
          </cell>
          <cell r="L33">
            <v>646</v>
          </cell>
          <cell r="M33">
            <v>1934</v>
          </cell>
          <cell r="N33">
            <v>4662</v>
          </cell>
          <cell r="P33">
            <v>144.69999999999999</v>
          </cell>
        </row>
        <row r="34">
          <cell r="A34" t="str">
            <v>1980/81</v>
          </cell>
          <cell r="B34" t="str">
            <v>Q3</v>
          </cell>
          <cell r="D34">
            <v>4662</v>
          </cell>
          <cell r="F34">
            <v>0.05</v>
          </cell>
          <cell r="G34">
            <v>4662</v>
          </cell>
          <cell r="J34">
            <v>1092</v>
          </cell>
          <cell r="K34">
            <v>1275</v>
          </cell>
          <cell r="L34">
            <v>614</v>
          </cell>
          <cell r="M34">
            <v>1889</v>
          </cell>
          <cell r="N34">
            <v>2774</v>
          </cell>
          <cell r="P34">
            <v>182.6</v>
          </cell>
        </row>
        <row r="35">
          <cell r="A35" t="str">
            <v>1980/81</v>
          </cell>
          <cell r="B35" t="str">
            <v>Q4</v>
          </cell>
          <cell r="D35">
            <v>2774</v>
          </cell>
          <cell r="F35">
            <v>0.51</v>
          </cell>
          <cell r="G35">
            <v>2774</v>
          </cell>
          <cell r="J35">
            <v>761</v>
          </cell>
          <cell r="K35">
            <v>939</v>
          </cell>
          <cell r="L35">
            <v>443</v>
          </cell>
          <cell r="M35">
            <v>1382</v>
          </cell>
          <cell r="N35">
            <v>1392</v>
          </cell>
          <cell r="P35">
            <v>177.4</v>
          </cell>
        </row>
        <row r="36">
          <cell r="A36" t="str">
            <v>1980/81</v>
          </cell>
          <cell r="B36" t="str">
            <v>MY</v>
          </cell>
          <cell r="D36">
            <v>2034</v>
          </cell>
          <cell r="E36">
            <v>6639</v>
          </cell>
          <cell r="F36">
            <v>0.85</v>
          </cell>
          <cell r="G36">
            <v>8675</v>
          </cell>
          <cell r="J36">
            <v>4232</v>
          </cell>
          <cell r="K36">
            <v>4891</v>
          </cell>
          <cell r="L36">
            <v>2391</v>
          </cell>
          <cell r="M36">
            <v>7282</v>
          </cell>
          <cell r="N36">
            <v>1392</v>
          </cell>
          <cell r="O36">
            <v>35</v>
          </cell>
          <cell r="P36">
            <v>659.2</v>
          </cell>
        </row>
        <row r="37">
          <cell r="B37" t="str">
            <v/>
          </cell>
        </row>
        <row r="38">
          <cell r="A38" t="str">
            <v>1981/82</v>
          </cell>
          <cell r="B38" t="str">
            <v>Q1</v>
          </cell>
          <cell r="D38">
            <v>1392</v>
          </cell>
          <cell r="E38">
            <v>8119</v>
          </cell>
          <cell r="F38">
            <v>0.11</v>
          </cell>
          <cell r="G38">
            <v>9511</v>
          </cell>
          <cell r="J38">
            <v>1217</v>
          </cell>
          <cell r="K38">
            <v>1391</v>
          </cell>
          <cell r="L38">
            <v>519</v>
          </cell>
          <cell r="M38">
            <v>1910</v>
          </cell>
          <cell r="N38">
            <v>7601</v>
          </cell>
          <cell r="P38">
            <v>173.3</v>
          </cell>
        </row>
        <row r="39">
          <cell r="A39" t="str">
            <v>1981/82</v>
          </cell>
          <cell r="B39" t="str">
            <v>Q2</v>
          </cell>
          <cell r="D39">
            <v>7601</v>
          </cell>
          <cell r="F39">
            <v>0.16</v>
          </cell>
          <cell r="G39">
            <v>7601</v>
          </cell>
          <cell r="J39">
            <v>1199</v>
          </cell>
          <cell r="K39">
            <v>1365</v>
          </cell>
          <cell r="L39">
            <v>470</v>
          </cell>
          <cell r="M39">
            <v>1835</v>
          </cell>
          <cell r="N39">
            <v>5766</v>
          </cell>
          <cell r="P39">
            <v>165.4</v>
          </cell>
        </row>
        <row r="40">
          <cell r="A40" t="str">
            <v>1981/82</v>
          </cell>
          <cell r="B40" t="str">
            <v>Q3</v>
          </cell>
          <cell r="D40">
            <v>5766</v>
          </cell>
          <cell r="F40">
            <v>0.04</v>
          </cell>
          <cell r="G40">
            <v>5766</v>
          </cell>
          <cell r="J40">
            <v>1089</v>
          </cell>
          <cell r="K40">
            <v>1291</v>
          </cell>
          <cell r="L40">
            <v>596</v>
          </cell>
          <cell r="M40">
            <v>1886</v>
          </cell>
          <cell r="N40">
            <v>3880</v>
          </cell>
          <cell r="P40">
            <v>201.3</v>
          </cell>
        </row>
        <row r="41">
          <cell r="A41" t="str">
            <v>1981/82</v>
          </cell>
          <cell r="B41" t="str">
            <v>Q4</v>
          </cell>
          <cell r="D41">
            <v>3880</v>
          </cell>
          <cell r="F41">
            <v>0.25</v>
          </cell>
          <cell r="G41">
            <v>3880</v>
          </cell>
          <cell r="J41">
            <v>739</v>
          </cell>
          <cell r="K41">
            <v>932</v>
          </cell>
          <cell r="L41">
            <v>412</v>
          </cell>
          <cell r="M41">
            <v>1344</v>
          </cell>
          <cell r="N41">
            <v>2537</v>
          </cell>
          <cell r="P41">
            <v>193.4</v>
          </cell>
        </row>
        <row r="42">
          <cell r="A42" t="str">
            <v>1981/82</v>
          </cell>
          <cell r="B42" t="str">
            <v>MY</v>
          </cell>
          <cell r="D42">
            <v>1392</v>
          </cell>
          <cell r="E42">
            <v>8119</v>
          </cell>
          <cell r="F42">
            <v>0.56000000000000005</v>
          </cell>
          <cell r="G42">
            <v>9511</v>
          </cell>
          <cell r="J42">
            <v>4245</v>
          </cell>
          <cell r="K42">
            <v>4978</v>
          </cell>
          <cell r="L42">
            <v>1997</v>
          </cell>
          <cell r="M42">
            <v>6975</v>
          </cell>
          <cell r="N42">
            <v>2537</v>
          </cell>
          <cell r="O42">
            <v>86</v>
          </cell>
          <cell r="P42">
            <v>733.4</v>
          </cell>
        </row>
        <row r="43">
          <cell r="B43" t="str">
            <v/>
          </cell>
        </row>
        <row r="44">
          <cell r="A44" t="str">
            <v>1982/83</v>
          </cell>
          <cell r="B44" t="str">
            <v>Q1</v>
          </cell>
          <cell r="D44">
            <v>2537</v>
          </cell>
          <cell r="E44">
            <v>8235</v>
          </cell>
          <cell r="F44">
            <v>0.25</v>
          </cell>
          <cell r="G44">
            <v>10772</v>
          </cell>
          <cell r="J44">
            <v>1215</v>
          </cell>
          <cell r="K44">
            <v>1423</v>
          </cell>
          <cell r="L44">
            <v>443</v>
          </cell>
          <cell r="M44">
            <v>1866</v>
          </cell>
          <cell r="N44">
            <v>8906</v>
          </cell>
          <cell r="P44">
            <v>207.5</v>
          </cell>
        </row>
        <row r="45">
          <cell r="A45" t="str">
            <v>1982/83</v>
          </cell>
          <cell r="B45" t="str">
            <v>Q2</v>
          </cell>
          <cell r="D45">
            <v>8906</v>
          </cell>
          <cell r="F45">
            <v>0.06</v>
          </cell>
          <cell r="G45">
            <v>8906</v>
          </cell>
          <cell r="J45">
            <v>1305</v>
          </cell>
          <cell r="K45">
            <v>1498</v>
          </cell>
          <cell r="L45">
            <v>510</v>
          </cell>
          <cell r="M45">
            <v>2007</v>
          </cell>
          <cell r="N45">
            <v>6899</v>
          </cell>
          <cell r="P45">
            <v>192.4</v>
          </cell>
        </row>
        <row r="46">
          <cell r="A46" t="str">
            <v>1982/83</v>
          </cell>
          <cell r="B46" t="str">
            <v>Q3</v>
          </cell>
          <cell r="D46">
            <v>6899</v>
          </cell>
          <cell r="F46">
            <v>0.09</v>
          </cell>
          <cell r="G46">
            <v>6899</v>
          </cell>
          <cell r="J46">
            <v>1272</v>
          </cell>
          <cell r="K46">
            <v>1500</v>
          </cell>
          <cell r="L46">
            <v>475</v>
          </cell>
          <cell r="M46">
            <v>1975</v>
          </cell>
          <cell r="N46">
            <v>4924</v>
          </cell>
          <cell r="P46">
            <v>227.8</v>
          </cell>
        </row>
        <row r="47">
          <cell r="A47" t="str">
            <v>1982/83</v>
          </cell>
          <cell r="B47" t="str">
            <v>Q4</v>
          </cell>
          <cell r="D47">
            <v>4924</v>
          </cell>
          <cell r="F47">
            <v>0.1</v>
          </cell>
          <cell r="G47">
            <v>4924</v>
          </cell>
          <cell r="J47">
            <v>781</v>
          </cell>
          <cell r="K47">
            <v>1008</v>
          </cell>
          <cell r="L47">
            <v>393</v>
          </cell>
          <cell r="M47">
            <v>1401</v>
          </cell>
          <cell r="N47">
            <v>3523</v>
          </cell>
          <cell r="P47">
            <v>226.8</v>
          </cell>
        </row>
        <row r="48">
          <cell r="A48" t="str">
            <v>1982/83</v>
          </cell>
          <cell r="B48" t="str">
            <v>MY</v>
          </cell>
          <cell r="D48">
            <v>2537</v>
          </cell>
          <cell r="E48">
            <v>8235</v>
          </cell>
          <cell r="F48">
            <v>0.49</v>
          </cell>
          <cell r="G48">
            <v>10772</v>
          </cell>
          <cell r="J48">
            <v>4573</v>
          </cell>
          <cell r="K48">
            <v>5428</v>
          </cell>
          <cell r="L48">
            <v>1821</v>
          </cell>
          <cell r="M48">
            <v>7249</v>
          </cell>
          <cell r="N48">
            <v>3523</v>
          </cell>
          <cell r="O48">
            <v>140</v>
          </cell>
          <cell r="P48">
            <v>853.5</v>
          </cell>
        </row>
        <row r="49">
          <cell r="B49" t="str">
            <v/>
          </cell>
        </row>
        <row r="50">
          <cell r="A50" t="str">
            <v>1983/84</v>
          </cell>
          <cell r="B50" t="str">
            <v>Q1</v>
          </cell>
          <cell r="D50">
            <v>3523</v>
          </cell>
          <cell r="E50">
            <v>4174</v>
          </cell>
          <cell r="F50">
            <v>0.4</v>
          </cell>
          <cell r="G50">
            <v>7698</v>
          </cell>
          <cell r="J50">
            <v>1325</v>
          </cell>
          <cell r="K50">
            <v>1553</v>
          </cell>
          <cell r="L50">
            <v>493</v>
          </cell>
          <cell r="M50">
            <v>2046</v>
          </cell>
          <cell r="N50">
            <v>5652</v>
          </cell>
          <cell r="P50">
            <v>227.4</v>
          </cell>
        </row>
        <row r="51">
          <cell r="A51" t="str">
            <v>1983/84</v>
          </cell>
          <cell r="B51" t="str">
            <v>Q2</v>
          </cell>
          <cell r="D51">
            <v>5652</v>
          </cell>
          <cell r="F51">
            <v>0.31</v>
          </cell>
          <cell r="G51">
            <v>5652</v>
          </cell>
          <cell r="J51">
            <v>1069</v>
          </cell>
          <cell r="K51">
            <v>1281</v>
          </cell>
          <cell r="L51">
            <v>506</v>
          </cell>
          <cell r="M51">
            <v>1787</v>
          </cell>
          <cell r="N51">
            <v>3865</v>
          </cell>
          <cell r="P51">
            <v>212.3</v>
          </cell>
        </row>
        <row r="52">
          <cell r="A52" t="str">
            <v>1983/84</v>
          </cell>
          <cell r="B52" t="str">
            <v>Q3</v>
          </cell>
          <cell r="D52">
            <v>3865</v>
          </cell>
          <cell r="F52">
            <v>0.49</v>
          </cell>
          <cell r="G52">
            <v>3865</v>
          </cell>
          <cell r="J52">
            <v>954</v>
          </cell>
          <cell r="K52">
            <v>1207</v>
          </cell>
          <cell r="L52">
            <v>513</v>
          </cell>
          <cell r="M52">
            <v>1720</v>
          </cell>
          <cell r="N52">
            <v>2145</v>
          </cell>
          <cell r="P52">
            <v>252.5</v>
          </cell>
        </row>
        <row r="53">
          <cell r="A53" t="str">
            <v>1983/84</v>
          </cell>
          <cell r="B53" t="str">
            <v>Q4</v>
          </cell>
          <cell r="D53">
            <v>2145</v>
          </cell>
          <cell r="F53">
            <v>0.51</v>
          </cell>
          <cell r="G53">
            <v>2146</v>
          </cell>
          <cell r="J53">
            <v>528</v>
          </cell>
          <cell r="K53">
            <v>766</v>
          </cell>
          <cell r="L53">
            <v>374</v>
          </cell>
          <cell r="M53">
            <v>1139</v>
          </cell>
          <cell r="N53">
            <v>1006</v>
          </cell>
          <cell r="P53">
            <v>237.9</v>
          </cell>
        </row>
        <row r="54">
          <cell r="A54" t="str">
            <v>1983/84</v>
          </cell>
          <cell r="B54" t="str">
            <v>MY</v>
          </cell>
          <cell r="D54">
            <v>3523</v>
          </cell>
          <cell r="E54">
            <v>4174</v>
          </cell>
          <cell r="F54">
            <v>1.71</v>
          </cell>
          <cell r="G54">
            <v>7699</v>
          </cell>
          <cell r="J54">
            <v>3876</v>
          </cell>
          <cell r="K54">
            <v>4806</v>
          </cell>
          <cell r="L54">
            <v>1886</v>
          </cell>
          <cell r="M54">
            <v>6693</v>
          </cell>
          <cell r="N54">
            <v>1006</v>
          </cell>
          <cell r="O54">
            <v>160</v>
          </cell>
          <cell r="P54">
            <v>930.1</v>
          </cell>
        </row>
        <row r="55">
          <cell r="B55" t="str">
            <v/>
          </cell>
        </row>
        <row r="56">
          <cell r="A56" t="str">
            <v>1984/85</v>
          </cell>
          <cell r="B56" t="str">
            <v>Q1</v>
          </cell>
          <cell r="D56">
            <v>1006</v>
          </cell>
          <cell r="E56">
            <v>7672</v>
          </cell>
          <cell r="F56">
            <v>0.72</v>
          </cell>
          <cell r="G56">
            <v>8679</v>
          </cell>
          <cell r="J56">
            <v>1301</v>
          </cell>
          <cell r="K56">
            <v>1545</v>
          </cell>
          <cell r="L56">
            <v>503</v>
          </cell>
          <cell r="M56">
            <v>2048</v>
          </cell>
          <cell r="N56">
            <v>6631</v>
          </cell>
          <cell r="P56">
            <v>244.1</v>
          </cell>
        </row>
        <row r="57">
          <cell r="A57" t="str">
            <v>1984/85</v>
          </cell>
          <cell r="B57" t="str">
            <v>Q2</v>
          </cell>
          <cell r="D57">
            <v>6631</v>
          </cell>
          <cell r="F57">
            <v>0.08</v>
          </cell>
          <cell r="G57">
            <v>6631</v>
          </cell>
          <cell r="J57">
            <v>1191</v>
          </cell>
          <cell r="K57">
            <v>1428</v>
          </cell>
          <cell r="L57">
            <v>580</v>
          </cell>
          <cell r="M57">
            <v>2008</v>
          </cell>
          <cell r="N57">
            <v>4623</v>
          </cell>
          <cell r="P57">
            <v>236.1</v>
          </cell>
        </row>
        <row r="58">
          <cell r="A58" t="str">
            <v>1984/85</v>
          </cell>
          <cell r="B58" t="str">
            <v>Q3</v>
          </cell>
          <cell r="D58">
            <v>4623</v>
          </cell>
          <cell r="F58">
            <v>0.85</v>
          </cell>
          <cell r="G58">
            <v>4624</v>
          </cell>
          <cell r="J58">
            <v>1019</v>
          </cell>
          <cell r="K58">
            <v>1314</v>
          </cell>
          <cell r="L58">
            <v>475</v>
          </cell>
          <cell r="M58">
            <v>1789</v>
          </cell>
          <cell r="N58">
            <v>2836</v>
          </cell>
          <cell r="P58">
            <v>294.39999999999998</v>
          </cell>
        </row>
        <row r="59">
          <cell r="A59" t="str">
            <v>1984/85</v>
          </cell>
          <cell r="B59" t="str">
            <v>Q4</v>
          </cell>
          <cell r="D59">
            <v>2836</v>
          </cell>
          <cell r="F59">
            <v>0.08</v>
          </cell>
          <cell r="G59">
            <v>2836</v>
          </cell>
          <cell r="J59">
            <v>603</v>
          </cell>
          <cell r="K59">
            <v>896</v>
          </cell>
          <cell r="L59">
            <v>292</v>
          </cell>
          <cell r="M59">
            <v>1187</v>
          </cell>
          <cell r="N59">
            <v>1648</v>
          </cell>
          <cell r="P59">
            <v>292.60000000000002</v>
          </cell>
        </row>
        <row r="60">
          <cell r="A60" t="str">
            <v>1984/85</v>
          </cell>
          <cell r="B60" t="str">
            <v>MY</v>
          </cell>
          <cell r="D60">
            <v>1006</v>
          </cell>
          <cell r="E60">
            <v>7672</v>
          </cell>
          <cell r="F60">
            <v>1.73</v>
          </cell>
          <cell r="G60">
            <v>8680</v>
          </cell>
          <cell r="J60">
            <v>4115</v>
          </cell>
          <cell r="K60">
            <v>5182</v>
          </cell>
          <cell r="L60">
            <v>1850</v>
          </cell>
          <cell r="M60">
            <v>7032</v>
          </cell>
          <cell r="N60">
            <v>1648</v>
          </cell>
          <cell r="O60">
            <v>232</v>
          </cell>
          <cell r="P60">
            <v>1067.2</v>
          </cell>
        </row>
        <row r="61">
          <cell r="B61" t="str">
            <v/>
          </cell>
        </row>
        <row r="62">
          <cell r="A62" t="str">
            <v>1985/86</v>
          </cell>
          <cell r="B62" t="str">
            <v>Q1</v>
          </cell>
          <cell r="D62">
            <v>1648</v>
          </cell>
          <cell r="E62">
            <v>8875</v>
          </cell>
          <cell r="F62">
            <v>0.86</v>
          </cell>
          <cell r="G62">
            <v>10525</v>
          </cell>
          <cell r="J62">
            <v>1219</v>
          </cell>
          <cell r="K62">
            <v>1495</v>
          </cell>
          <cell r="L62">
            <v>415</v>
          </cell>
          <cell r="M62">
            <v>1910</v>
          </cell>
          <cell r="N62">
            <v>8615</v>
          </cell>
          <cell r="P62">
            <v>276.3</v>
          </cell>
        </row>
        <row r="63">
          <cell r="A63" t="str">
            <v>1985/86</v>
          </cell>
          <cell r="B63" t="str">
            <v>Q2</v>
          </cell>
          <cell r="D63">
            <v>8615</v>
          </cell>
          <cell r="F63">
            <v>0.95</v>
          </cell>
          <cell r="G63">
            <v>8616</v>
          </cell>
          <cell r="J63">
            <v>1306</v>
          </cell>
          <cell r="K63">
            <v>1568</v>
          </cell>
          <cell r="L63">
            <v>460</v>
          </cell>
          <cell r="M63">
            <v>2029</v>
          </cell>
          <cell r="N63">
            <v>6587</v>
          </cell>
          <cell r="P63">
            <v>262.39999999999998</v>
          </cell>
        </row>
        <row r="64">
          <cell r="A64" t="str">
            <v>1985/86</v>
          </cell>
          <cell r="B64" t="str">
            <v>Q3</v>
          </cell>
          <cell r="D64">
            <v>6587</v>
          </cell>
          <cell r="F64">
            <v>2.21</v>
          </cell>
          <cell r="G64">
            <v>6589</v>
          </cell>
          <cell r="J64">
            <v>1091</v>
          </cell>
          <cell r="K64">
            <v>1398</v>
          </cell>
          <cell r="L64">
            <v>201</v>
          </cell>
          <cell r="M64">
            <v>1599</v>
          </cell>
          <cell r="N64">
            <v>4990</v>
          </cell>
          <cell r="P64">
            <v>307.3</v>
          </cell>
        </row>
        <row r="65">
          <cell r="A65" t="str">
            <v>1985/86</v>
          </cell>
          <cell r="B65" t="str">
            <v>Q4</v>
          </cell>
          <cell r="D65">
            <v>4990</v>
          </cell>
          <cell r="F65">
            <v>5.88</v>
          </cell>
          <cell r="G65">
            <v>4996</v>
          </cell>
          <cell r="J65">
            <v>499</v>
          </cell>
          <cell r="K65">
            <v>805</v>
          </cell>
          <cell r="L65">
            <v>151</v>
          </cell>
          <cell r="M65">
            <v>956</v>
          </cell>
          <cell r="N65">
            <v>4040</v>
          </cell>
          <cell r="P65">
            <v>306.5</v>
          </cell>
        </row>
        <row r="66">
          <cell r="A66" t="str">
            <v>1985/86</v>
          </cell>
          <cell r="B66" t="str">
            <v>MY</v>
          </cell>
          <cell r="D66">
            <v>1648</v>
          </cell>
          <cell r="E66">
            <v>8875</v>
          </cell>
          <cell r="F66">
            <v>9.9</v>
          </cell>
          <cell r="G66">
            <v>10534</v>
          </cell>
          <cell r="J66">
            <v>4114</v>
          </cell>
          <cell r="K66">
            <v>5267</v>
          </cell>
          <cell r="L66">
            <v>1227</v>
          </cell>
          <cell r="M66">
            <v>6494</v>
          </cell>
          <cell r="N66">
            <v>4040</v>
          </cell>
          <cell r="O66">
            <v>271</v>
          </cell>
          <cell r="P66">
            <v>1152.5</v>
          </cell>
        </row>
        <row r="67">
          <cell r="B67" t="str">
            <v/>
          </cell>
        </row>
        <row r="68">
          <cell r="A68" t="str">
            <v>1986/87</v>
          </cell>
          <cell r="B68" t="str">
            <v>Q1</v>
          </cell>
          <cell r="D68">
            <v>4040</v>
          </cell>
          <cell r="E68">
            <v>8226</v>
          </cell>
          <cell r="F68">
            <v>0.71</v>
          </cell>
          <cell r="G68">
            <v>12266</v>
          </cell>
          <cell r="J68">
            <v>1348</v>
          </cell>
          <cell r="K68">
            <v>1642</v>
          </cell>
          <cell r="L68">
            <v>318</v>
          </cell>
          <cell r="M68">
            <v>1960</v>
          </cell>
          <cell r="N68">
            <v>10305</v>
          </cell>
          <cell r="O68">
            <v>67.942999999999998</v>
          </cell>
          <cell r="P68">
            <v>294.47300000000001</v>
          </cell>
        </row>
        <row r="69">
          <cell r="A69" t="str">
            <v>1986/87</v>
          </cell>
          <cell r="B69" t="str">
            <v>Q2</v>
          </cell>
          <cell r="D69">
            <v>10305</v>
          </cell>
          <cell r="F69">
            <v>0.17</v>
          </cell>
          <cell r="G69">
            <v>10306</v>
          </cell>
          <cell r="J69">
            <v>1463</v>
          </cell>
          <cell r="K69">
            <v>1745</v>
          </cell>
          <cell r="L69">
            <v>313</v>
          </cell>
          <cell r="M69">
            <v>2057</v>
          </cell>
          <cell r="N69">
            <v>8248</v>
          </cell>
          <cell r="O69">
            <v>71.513999999999996</v>
          </cell>
          <cell r="P69">
            <v>281.49099999999999</v>
          </cell>
        </row>
        <row r="70">
          <cell r="A70" t="str">
            <v>1986/87</v>
          </cell>
          <cell r="B70" t="str">
            <v>Q3</v>
          </cell>
          <cell r="D70">
            <v>8248</v>
          </cell>
          <cell r="F70">
            <v>0.45</v>
          </cell>
          <cell r="G70">
            <v>8249</v>
          </cell>
          <cell r="J70">
            <v>1088</v>
          </cell>
          <cell r="K70">
            <v>1420</v>
          </cell>
          <cell r="L70">
            <v>496</v>
          </cell>
          <cell r="M70">
            <v>1916</v>
          </cell>
          <cell r="N70">
            <v>6332</v>
          </cell>
          <cell r="O70">
            <v>77.433000000000007</v>
          </cell>
          <cell r="P70">
            <v>332.613</v>
          </cell>
        </row>
        <row r="71">
          <cell r="A71" t="str">
            <v>1986/87</v>
          </cell>
          <cell r="B71" t="str">
            <v>Q4</v>
          </cell>
          <cell r="D71">
            <v>6332</v>
          </cell>
          <cell r="F71">
            <v>0.43</v>
          </cell>
          <cell r="G71">
            <v>6333</v>
          </cell>
          <cell r="J71">
            <v>761</v>
          </cell>
          <cell r="K71">
            <v>1086</v>
          </cell>
          <cell r="L71">
            <v>365</v>
          </cell>
          <cell r="M71">
            <v>1451</v>
          </cell>
          <cell r="N71">
            <v>4882</v>
          </cell>
          <cell r="O71">
            <v>73.102000000000004</v>
          </cell>
          <cell r="P71">
            <v>324.834</v>
          </cell>
        </row>
        <row r="72">
          <cell r="A72" t="str">
            <v>1986/87</v>
          </cell>
          <cell r="B72" t="str">
            <v>MY</v>
          </cell>
          <cell r="D72">
            <v>4040</v>
          </cell>
          <cell r="E72">
            <v>8226</v>
          </cell>
          <cell r="F72">
            <v>1.76</v>
          </cell>
          <cell r="G72">
            <v>12267</v>
          </cell>
          <cell r="J72">
            <v>4659</v>
          </cell>
          <cell r="K72">
            <v>5893</v>
          </cell>
          <cell r="L72">
            <v>1492</v>
          </cell>
          <cell r="M72">
            <v>7385</v>
          </cell>
          <cell r="N72">
            <v>4882</v>
          </cell>
          <cell r="O72">
            <v>289.99200000000002</v>
          </cell>
          <cell r="P72">
            <v>1233.412</v>
          </cell>
        </row>
        <row r="73">
          <cell r="B73" t="str">
            <v/>
          </cell>
        </row>
        <row r="74">
          <cell r="A74" t="str">
            <v>1987/88</v>
          </cell>
          <cell r="B74" t="str">
            <v>Q1</v>
          </cell>
          <cell r="D74">
            <v>4882</v>
          </cell>
          <cell r="E74">
            <v>7131</v>
          </cell>
          <cell r="F74">
            <v>0.56000000000000005</v>
          </cell>
          <cell r="G74">
            <v>12014</v>
          </cell>
          <cell r="J74">
            <v>1551</v>
          </cell>
          <cell r="K74">
            <v>1847</v>
          </cell>
          <cell r="L74">
            <v>396</v>
          </cell>
          <cell r="M74">
            <v>2243</v>
          </cell>
          <cell r="N74">
            <v>9771</v>
          </cell>
          <cell r="O74">
            <v>67.245000000000005</v>
          </cell>
          <cell r="P74">
            <v>296.13299999999998</v>
          </cell>
        </row>
        <row r="75">
          <cell r="A75" t="str">
            <v>1987/88</v>
          </cell>
          <cell r="B75" t="str">
            <v>Q2</v>
          </cell>
          <cell r="D75">
            <v>9771</v>
          </cell>
          <cell r="F75">
            <v>0.71</v>
          </cell>
          <cell r="G75">
            <v>9772</v>
          </cell>
          <cell r="J75">
            <v>1444</v>
          </cell>
          <cell r="K75">
            <v>1731</v>
          </cell>
          <cell r="L75">
            <v>405</v>
          </cell>
          <cell r="M75">
            <v>2136</v>
          </cell>
          <cell r="N75">
            <v>7636</v>
          </cell>
          <cell r="O75">
            <v>69.087000000000003</v>
          </cell>
          <cell r="P75">
            <v>287.58</v>
          </cell>
        </row>
        <row r="76">
          <cell r="A76" t="str">
            <v>1987/88</v>
          </cell>
          <cell r="B76" t="str">
            <v>Q3</v>
          </cell>
          <cell r="D76">
            <v>7636</v>
          </cell>
          <cell r="F76">
            <v>1.37</v>
          </cell>
          <cell r="G76">
            <v>7637</v>
          </cell>
          <cell r="J76">
            <v>951</v>
          </cell>
          <cell r="K76">
            <v>1288</v>
          </cell>
          <cell r="L76">
            <v>510</v>
          </cell>
          <cell r="M76">
            <v>1798</v>
          </cell>
          <cell r="N76">
            <v>5839</v>
          </cell>
          <cell r="O76">
            <v>72.962000000000003</v>
          </cell>
          <cell r="P76">
            <v>336.84199999999998</v>
          </cell>
        </row>
        <row r="77">
          <cell r="A77" t="str">
            <v>1987/88</v>
          </cell>
          <cell r="B77" t="str">
            <v>Q4</v>
          </cell>
          <cell r="D77">
            <v>5839</v>
          </cell>
          <cell r="F77">
            <v>0.77</v>
          </cell>
          <cell r="G77">
            <v>5840</v>
          </cell>
          <cell r="J77">
            <v>843</v>
          </cell>
          <cell r="K77">
            <v>1174</v>
          </cell>
          <cell r="L77">
            <v>406</v>
          </cell>
          <cell r="M77">
            <v>1581</v>
          </cell>
          <cell r="N77">
            <v>4259</v>
          </cell>
          <cell r="O77">
            <v>69.850999999999999</v>
          </cell>
          <cell r="P77">
            <v>331.09199999999998</v>
          </cell>
        </row>
        <row r="78">
          <cell r="A78" t="str">
            <v>1987/88</v>
          </cell>
          <cell r="B78" t="str">
            <v>MY</v>
          </cell>
          <cell r="D78">
            <v>4882</v>
          </cell>
          <cell r="E78">
            <v>7131</v>
          </cell>
          <cell r="F78">
            <v>3.41</v>
          </cell>
          <cell r="G78">
            <v>12016</v>
          </cell>
          <cell r="J78">
            <v>4789</v>
          </cell>
          <cell r="K78">
            <v>6041</v>
          </cell>
          <cell r="L78">
            <v>1716</v>
          </cell>
          <cell r="M78">
            <v>7757</v>
          </cell>
          <cell r="N78">
            <v>4259</v>
          </cell>
          <cell r="O78">
            <v>279.14600000000002</v>
          </cell>
          <cell r="P78">
            <v>1251.6479999999999</v>
          </cell>
        </row>
        <row r="79">
          <cell r="B79" t="str">
            <v/>
          </cell>
        </row>
        <row r="80">
          <cell r="A80" t="str">
            <v>1988/89</v>
          </cell>
          <cell r="B80" t="str">
            <v>Q1</v>
          </cell>
          <cell r="D80">
            <v>4259</v>
          </cell>
          <cell r="E80">
            <v>4929</v>
          </cell>
          <cell r="F80">
            <v>0.63</v>
          </cell>
          <cell r="G80">
            <v>9188</v>
          </cell>
          <cell r="J80">
            <v>1344</v>
          </cell>
          <cell r="K80">
            <v>1646</v>
          </cell>
          <cell r="L80">
            <v>471</v>
          </cell>
          <cell r="M80">
            <v>2117</v>
          </cell>
          <cell r="N80">
            <v>7072</v>
          </cell>
          <cell r="O80">
            <v>70.846999999999994</v>
          </cell>
          <cell r="P80">
            <v>302.286</v>
          </cell>
        </row>
        <row r="81">
          <cell r="A81" t="str">
            <v>1988/89</v>
          </cell>
          <cell r="B81" t="str">
            <v>Q2</v>
          </cell>
          <cell r="D81">
            <v>7072</v>
          </cell>
          <cell r="F81">
            <v>0.59</v>
          </cell>
          <cell r="G81">
            <v>7072</v>
          </cell>
          <cell r="J81">
            <v>1064</v>
          </cell>
          <cell r="K81">
            <v>1366</v>
          </cell>
          <cell r="L81">
            <v>503</v>
          </cell>
          <cell r="M81">
            <v>1868</v>
          </cell>
          <cell r="N81">
            <v>5204</v>
          </cell>
          <cell r="O81">
            <v>76.468999999999994</v>
          </cell>
          <cell r="P81">
            <v>301.351</v>
          </cell>
        </row>
        <row r="82">
          <cell r="A82" t="str">
            <v>1988/89</v>
          </cell>
          <cell r="B82" t="str">
            <v>Q3</v>
          </cell>
          <cell r="D82">
            <v>5204</v>
          </cell>
          <cell r="F82">
            <v>1.22</v>
          </cell>
          <cell r="G82">
            <v>5205</v>
          </cell>
          <cell r="J82">
            <v>841</v>
          </cell>
          <cell r="K82">
            <v>1194</v>
          </cell>
          <cell r="L82">
            <v>592</v>
          </cell>
          <cell r="M82">
            <v>1786</v>
          </cell>
          <cell r="N82">
            <v>3419</v>
          </cell>
          <cell r="O82">
            <v>72.52</v>
          </cell>
          <cell r="P82">
            <v>352.93099999999998</v>
          </cell>
        </row>
        <row r="83">
          <cell r="A83" t="str">
            <v>1988/89</v>
          </cell>
          <cell r="B83" t="str">
            <v>Q4</v>
          </cell>
          <cell r="D83">
            <v>3419</v>
          </cell>
          <cell r="F83">
            <v>0.35</v>
          </cell>
          <cell r="G83">
            <v>3420</v>
          </cell>
          <cell r="J83">
            <v>685</v>
          </cell>
          <cell r="K83">
            <v>1026</v>
          </cell>
          <cell r="L83">
            <v>463</v>
          </cell>
          <cell r="M83">
            <v>1489</v>
          </cell>
          <cell r="N83">
            <v>1930</v>
          </cell>
          <cell r="O83">
            <v>67.61</v>
          </cell>
          <cell r="P83">
            <v>341.19200000000001</v>
          </cell>
        </row>
        <row r="84">
          <cell r="A84" t="str">
            <v>1988/89</v>
          </cell>
          <cell r="B84" t="str">
            <v>MY</v>
          </cell>
          <cell r="D84">
            <v>4259</v>
          </cell>
          <cell r="E84">
            <v>4929</v>
          </cell>
          <cell r="F84">
            <v>2.78</v>
          </cell>
          <cell r="G84">
            <v>9191</v>
          </cell>
          <cell r="J84">
            <v>3934</v>
          </cell>
          <cell r="K84">
            <v>5232</v>
          </cell>
          <cell r="L84">
            <v>2028</v>
          </cell>
          <cell r="M84">
            <v>7260</v>
          </cell>
          <cell r="N84">
            <v>1930</v>
          </cell>
          <cell r="O84">
            <v>287.44499999999999</v>
          </cell>
          <cell r="P84">
            <v>1297.758</v>
          </cell>
        </row>
        <row r="85">
          <cell r="B85" t="str">
            <v/>
          </cell>
        </row>
        <row r="86">
          <cell r="A86" t="str">
            <v>1989/90</v>
          </cell>
          <cell r="B86" t="str">
            <v>Q1</v>
          </cell>
          <cell r="D86">
            <v>1930</v>
          </cell>
          <cell r="E86">
            <v>7532</v>
          </cell>
          <cell r="F86">
            <v>0.64</v>
          </cell>
          <cell r="G86">
            <v>9463</v>
          </cell>
          <cell r="J86">
            <v>1487</v>
          </cell>
          <cell r="K86">
            <v>1799</v>
          </cell>
          <cell r="L86">
            <v>582</v>
          </cell>
          <cell r="M86">
            <v>2381</v>
          </cell>
          <cell r="N86">
            <v>7082</v>
          </cell>
          <cell r="O86">
            <v>63.646999999999998</v>
          </cell>
          <cell r="P86">
            <v>311.94</v>
          </cell>
        </row>
        <row r="87">
          <cell r="A87" t="str">
            <v>1989/90</v>
          </cell>
          <cell r="B87" t="str">
            <v>Q2</v>
          </cell>
          <cell r="D87">
            <v>7082</v>
          </cell>
          <cell r="F87">
            <v>0.44</v>
          </cell>
          <cell r="G87">
            <v>7083</v>
          </cell>
          <cell r="J87">
            <v>1276</v>
          </cell>
          <cell r="K87">
            <v>1588</v>
          </cell>
          <cell r="L87">
            <v>682</v>
          </cell>
          <cell r="M87">
            <v>2270</v>
          </cell>
          <cell r="N87">
            <v>4812</v>
          </cell>
          <cell r="O87">
            <v>80.471000000000004</v>
          </cell>
          <cell r="P87">
            <v>312.90499999999997</v>
          </cell>
        </row>
        <row r="88">
          <cell r="A88" t="str">
            <v>1989/90</v>
          </cell>
          <cell r="B88" t="str">
            <v>Q3</v>
          </cell>
          <cell r="D88">
            <v>4812</v>
          </cell>
          <cell r="F88">
            <v>0.62</v>
          </cell>
          <cell r="G88">
            <v>4813</v>
          </cell>
          <cell r="J88">
            <v>993</v>
          </cell>
          <cell r="K88">
            <v>1369</v>
          </cell>
          <cell r="L88">
            <v>601</v>
          </cell>
          <cell r="M88">
            <v>1970</v>
          </cell>
          <cell r="N88">
            <v>2843</v>
          </cell>
          <cell r="O88">
            <v>89.466999999999999</v>
          </cell>
          <cell r="P88">
            <v>376.00900000000001</v>
          </cell>
        </row>
        <row r="89">
          <cell r="A89" t="str">
            <v>1989/90</v>
          </cell>
          <cell r="B89" t="str">
            <v>Q4</v>
          </cell>
          <cell r="D89">
            <v>2843</v>
          </cell>
          <cell r="F89">
            <v>0.2</v>
          </cell>
          <cell r="G89">
            <v>2843</v>
          </cell>
          <cell r="J89">
            <v>627</v>
          </cell>
          <cell r="K89">
            <v>996</v>
          </cell>
          <cell r="L89">
            <v>503</v>
          </cell>
          <cell r="M89">
            <v>1499</v>
          </cell>
          <cell r="N89">
            <v>1344</v>
          </cell>
          <cell r="O89">
            <v>87.861000000000004</v>
          </cell>
          <cell r="P89">
            <v>369.18599999999998</v>
          </cell>
        </row>
        <row r="90">
          <cell r="A90" t="str">
            <v>1989/90</v>
          </cell>
          <cell r="B90" t="str">
            <v>MY</v>
          </cell>
          <cell r="D90">
            <v>1930</v>
          </cell>
          <cell r="E90">
            <v>7532</v>
          </cell>
          <cell r="F90">
            <v>1.9</v>
          </cell>
          <cell r="G90">
            <v>9464</v>
          </cell>
          <cell r="J90">
            <v>4382</v>
          </cell>
          <cell r="K90">
            <v>5753</v>
          </cell>
          <cell r="L90">
            <v>2367</v>
          </cell>
          <cell r="M90">
            <v>8120</v>
          </cell>
          <cell r="N90">
            <v>1344</v>
          </cell>
          <cell r="O90">
            <v>321.44600000000003</v>
          </cell>
          <cell r="P90">
            <v>1370.039</v>
          </cell>
        </row>
        <row r="91">
          <cell r="B91" t="str">
            <v/>
          </cell>
        </row>
        <row r="92">
          <cell r="A92" t="str">
            <v>1990/91</v>
          </cell>
          <cell r="B92" t="str">
            <v>Q1</v>
          </cell>
          <cell r="D92">
            <v>1344</v>
          </cell>
          <cell r="E92">
            <v>7934</v>
          </cell>
          <cell r="F92">
            <v>0.89</v>
          </cell>
          <cell r="G92">
            <v>9279</v>
          </cell>
          <cell r="J92">
            <v>1619</v>
          </cell>
          <cell r="K92">
            <v>1956</v>
          </cell>
          <cell r="L92">
            <v>383</v>
          </cell>
          <cell r="M92">
            <v>2339</v>
          </cell>
          <cell r="N92">
            <v>6940</v>
          </cell>
          <cell r="O92">
            <v>76.165999999999997</v>
          </cell>
          <cell r="P92">
            <v>337.53199999999998</v>
          </cell>
        </row>
        <row r="93">
          <cell r="A93" t="str">
            <v>1990/91</v>
          </cell>
          <cell r="B93" t="str">
            <v>Q2</v>
          </cell>
          <cell r="D93">
            <v>6940</v>
          </cell>
          <cell r="F93">
            <v>0.28000000000000003</v>
          </cell>
          <cell r="G93">
            <v>6941</v>
          </cell>
          <cell r="J93">
            <v>1351</v>
          </cell>
          <cell r="K93">
            <v>1681</v>
          </cell>
          <cell r="L93">
            <v>471</v>
          </cell>
          <cell r="M93">
            <v>2152</v>
          </cell>
          <cell r="N93">
            <v>4789</v>
          </cell>
          <cell r="O93">
            <v>86.986000000000004</v>
          </cell>
          <cell r="P93">
            <v>329.87</v>
          </cell>
        </row>
        <row r="94">
          <cell r="A94" t="str">
            <v>1990/91</v>
          </cell>
          <cell r="B94" t="str">
            <v>Q3</v>
          </cell>
          <cell r="D94">
            <v>4789</v>
          </cell>
          <cell r="F94">
            <v>0.78</v>
          </cell>
          <cell r="G94">
            <v>4790</v>
          </cell>
          <cell r="J94">
            <v>960</v>
          </cell>
          <cell r="K94">
            <v>1344</v>
          </cell>
          <cell r="L94">
            <v>454</v>
          </cell>
          <cell r="M94">
            <v>1798</v>
          </cell>
          <cell r="N94">
            <v>2992</v>
          </cell>
          <cell r="O94">
            <v>90.879000000000005</v>
          </cell>
          <cell r="P94">
            <v>384.036</v>
          </cell>
        </row>
        <row r="95">
          <cell r="A95" t="str">
            <v>1990/91</v>
          </cell>
          <cell r="B95" t="str">
            <v>Q4</v>
          </cell>
          <cell r="D95">
            <v>2992</v>
          </cell>
          <cell r="F95">
            <v>1.47</v>
          </cell>
          <cell r="G95">
            <v>2993</v>
          </cell>
          <cell r="J95">
            <v>679</v>
          </cell>
          <cell r="K95">
            <v>1053</v>
          </cell>
          <cell r="L95">
            <v>419</v>
          </cell>
          <cell r="M95">
            <v>1472</v>
          </cell>
          <cell r="N95">
            <v>1521</v>
          </cell>
          <cell r="O95">
            <v>95.036000000000001</v>
          </cell>
          <cell r="P95">
            <v>373.67599999999999</v>
          </cell>
        </row>
        <row r="96">
          <cell r="A96" t="str">
            <v>1990/91</v>
          </cell>
          <cell r="B96" t="str">
            <v>MY</v>
          </cell>
          <cell r="D96">
            <v>1344</v>
          </cell>
          <cell r="E96">
            <v>7934</v>
          </cell>
          <cell r="F96">
            <v>3.42</v>
          </cell>
          <cell r="G96">
            <v>9282</v>
          </cell>
          <cell r="J96">
            <v>4609</v>
          </cell>
          <cell r="K96">
            <v>6034</v>
          </cell>
          <cell r="L96">
            <v>1727</v>
          </cell>
          <cell r="M96">
            <v>7761</v>
          </cell>
          <cell r="N96">
            <v>1521</v>
          </cell>
          <cell r="O96">
            <v>349.06799999999998</v>
          </cell>
          <cell r="P96">
            <v>1425.117</v>
          </cell>
        </row>
        <row r="97">
          <cell r="B97" t="str">
            <v/>
          </cell>
        </row>
        <row r="98">
          <cell r="A98" t="str">
            <v>1991/92</v>
          </cell>
          <cell r="B98" t="str">
            <v>Q1</v>
          </cell>
          <cell r="D98">
            <v>1521</v>
          </cell>
          <cell r="E98">
            <v>7475</v>
          </cell>
          <cell r="F98">
            <v>6.48</v>
          </cell>
          <cell r="G98">
            <v>9002</v>
          </cell>
          <cell r="J98">
            <v>1674</v>
          </cell>
          <cell r="K98">
            <v>2034</v>
          </cell>
          <cell r="L98">
            <v>421</v>
          </cell>
          <cell r="M98">
            <v>2455</v>
          </cell>
          <cell r="N98">
            <v>6547</v>
          </cell>
          <cell r="O98">
            <v>97.731999999999999</v>
          </cell>
          <cell r="P98">
            <v>360.45100000000002</v>
          </cell>
        </row>
        <row r="99">
          <cell r="A99" t="str">
            <v>1991/92</v>
          </cell>
          <cell r="B99" t="str">
            <v>Q2</v>
          </cell>
          <cell r="D99">
            <v>6547</v>
          </cell>
          <cell r="F99">
            <v>4.41</v>
          </cell>
          <cell r="G99">
            <v>6552</v>
          </cell>
          <cell r="J99">
            <v>1267</v>
          </cell>
          <cell r="K99">
            <v>1629</v>
          </cell>
          <cell r="L99">
            <v>362</v>
          </cell>
          <cell r="M99">
            <v>1991</v>
          </cell>
          <cell r="N99">
            <v>4561</v>
          </cell>
          <cell r="O99">
            <v>100.223</v>
          </cell>
          <cell r="P99">
            <v>362.22199999999998</v>
          </cell>
        </row>
        <row r="100">
          <cell r="A100" t="str">
            <v>1991/92</v>
          </cell>
          <cell r="B100" t="str">
            <v>Q3</v>
          </cell>
          <cell r="D100">
            <v>4561</v>
          </cell>
          <cell r="F100">
            <v>5.4</v>
          </cell>
          <cell r="G100">
            <v>4566</v>
          </cell>
          <cell r="J100">
            <v>1042</v>
          </cell>
          <cell r="K100">
            <v>1456</v>
          </cell>
          <cell r="L100">
            <v>371</v>
          </cell>
          <cell r="M100">
            <v>1828</v>
          </cell>
          <cell r="N100">
            <v>2739</v>
          </cell>
          <cell r="O100">
            <v>100.877</v>
          </cell>
          <cell r="P100">
            <v>414.53199999999998</v>
          </cell>
        </row>
        <row r="101">
          <cell r="A101" t="str">
            <v>1991/92</v>
          </cell>
          <cell r="B101" t="str">
            <v>Q4</v>
          </cell>
          <cell r="D101">
            <v>2739</v>
          </cell>
          <cell r="F101">
            <v>3.35</v>
          </cell>
          <cell r="G101">
            <v>2742</v>
          </cell>
          <cell r="J101">
            <v>816</v>
          </cell>
          <cell r="K101">
            <v>1212</v>
          </cell>
          <cell r="L101">
            <v>430</v>
          </cell>
          <cell r="M101">
            <v>1642</v>
          </cell>
          <cell r="N101">
            <v>1100</v>
          </cell>
          <cell r="O101">
            <v>99.432000000000002</v>
          </cell>
          <cell r="P101">
            <v>396.30099999999999</v>
          </cell>
        </row>
        <row r="102">
          <cell r="A102" t="str">
            <v>1991/92</v>
          </cell>
          <cell r="B102" t="str">
            <v>MY</v>
          </cell>
          <cell r="D102">
            <v>1521</v>
          </cell>
          <cell r="E102">
            <v>7475</v>
          </cell>
          <cell r="F102">
            <v>19.64</v>
          </cell>
          <cell r="G102">
            <v>9016</v>
          </cell>
          <cell r="J102">
            <v>4798</v>
          </cell>
          <cell r="K102">
            <v>6331</v>
          </cell>
          <cell r="L102">
            <v>1584</v>
          </cell>
          <cell r="M102">
            <v>7915</v>
          </cell>
          <cell r="N102">
            <v>1100</v>
          </cell>
          <cell r="O102">
            <v>398.26400000000001</v>
          </cell>
          <cell r="P102">
            <v>1533.5070000000001</v>
          </cell>
        </row>
        <row r="103">
          <cell r="B103" t="str">
            <v/>
          </cell>
        </row>
        <row r="104">
          <cell r="A104" t="str">
            <v>1992/93</v>
          </cell>
          <cell r="B104" t="str">
            <v>Q1</v>
          </cell>
          <cell r="D104">
            <v>1100</v>
          </cell>
          <cell r="E104">
            <v>9477</v>
          </cell>
          <cell r="F104">
            <v>1.26</v>
          </cell>
          <cell r="G104">
            <v>10578</v>
          </cell>
          <cell r="J104">
            <v>1814</v>
          </cell>
          <cell r="K104">
            <v>2184</v>
          </cell>
          <cell r="L104">
            <v>488</v>
          </cell>
          <cell r="M104">
            <v>2672</v>
          </cell>
          <cell r="N104">
            <v>7906</v>
          </cell>
          <cell r="O104">
            <v>103.057</v>
          </cell>
          <cell r="P104">
            <v>370.07600000000002</v>
          </cell>
        </row>
        <row r="105">
          <cell r="A105" t="str">
            <v>1992/93</v>
          </cell>
          <cell r="B105" t="str">
            <v>Q2</v>
          </cell>
          <cell r="D105">
            <v>7906</v>
          </cell>
          <cell r="F105">
            <v>1.04</v>
          </cell>
          <cell r="G105">
            <v>7907</v>
          </cell>
          <cell r="J105">
            <v>1401</v>
          </cell>
          <cell r="K105">
            <v>1766</v>
          </cell>
          <cell r="L105">
            <v>463</v>
          </cell>
          <cell r="M105">
            <v>2229</v>
          </cell>
          <cell r="N105">
            <v>5678</v>
          </cell>
          <cell r="O105">
            <v>106.333</v>
          </cell>
          <cell r="P105">
            <v>365.04599999999999</v>
          </cell>
        </row>
        <row r="106">
          <cell r="A106" t="str">
            <v>1992/93</v>
          </cell>
          <cell r="B106" t="str">
            <v>Q3</v>
          </cell>
          <cell r="D106">
            <v>5678</v>
          </cell>
          <cell r="F106">
            <v>2</v>
          </cell>
          <cell r="G106">
            <v>5680</v>
          </cell>
          <cell r="J106">
            <v>1146</v>
          </cell>
          <cell r="K106">
            <v>1559</v>
          </cell>
          <cell r="L106">
            <v>411</v>
          </cell>
          <cell r="M106">
            <v>1971</v>
          </cell>
          <cell r="N106">
            <v>3709</v>
          </cell>
          <cell r="O106">
            <v>112.001</v>
          </cell>
          <cell r="P106">
            <v>413.71600000000001</v>
          </cell>
        </row>
        <row r="107">
          <cell r="A107" t="str">
            <v>1992/93</v>
          </cell>
          <cell r="B107" t="str">
            <v>Q4</v>
          </cell>
          <cell r="D107">
            <v>3709</v>
          </cell>
          <cell r="F107">
            <v>2.8</v>
          </cell>
          <cell r="G107">
            <v>3712</v>
          </cell>
          <cell r="J107">
            <v>891</v>
          </cell>
          <cell r="K107">
            <v>1298</v>
          </cell>
          <cell r="L107">
            <v>301</v>
          </cell>
          <cell r="M107">
            <v>1599</v>
          </cell>
          <cell r="N107">
            <v>2113</v>
          </cell>
          <cell r="O107">
            <v>104.119</v>
          </cell>
          <cell r="P107">
            <v>406.91399999999999</v>
          </cell>
        </row>
        <row r="108">
          <cell r="A108" t="str">
            <v>1992/93</v>
          </cell>
          <cell r="B108" t="str">
            <v>MY</v>
          </cell>
          <cell r="D108">
            <v>1100</v>
          </cell>
          <cell r="E108">
            <v>9477</v>
          </cell>
          <cell r="F108">
            <v>7.09</v>
          </cell>
          <cell r="G108">
            <v>10584</v>
          </cell>
          <cell r="J108">
            <v>5252</v>
          </cell>
          <cell r="K108">
            <v>6808</v>
          </cell>
          <cell r="L108">
            <v>1663</v>
          </cell>
          <cell r="M108">
            <v>8471</v>
          </cell>
          <cell r="N108">
            <v>2113</v>
          </cell>
          <cell r="O108">
            <v>425.51</v>
          </cell>
          <cell r="P108">
            <v>1555.751</v>
          </cell>
        </row>
        <row r="109">
          <cell r="B109" t="str">
            <v/>
          </cell>
        </row>
        <row r="110">
          <cell r="A110" t="str">
            <v>1993/94</v>
          </cell>
          <cell r="B110" t="str">
            <v>Q1</v>
          </cell>
          <cell r="D110">
            <v>2113</v>
          </cell>
          <cell r="E110">
            <v>6338</v>
          </cell>
          <cell r="F110">
            <v>5.21</v>
          </cell>
          <cell r="G110">
            <v>8456</v>
          </cell>
          <cell r="J110">
            <v>1701</v>
          </cell>
          <cell r="K110">
            <v>2084</v>
          </cell>
          <cell r="L110">
            <v>435</v>
          </cell>
          <cell r="M110">
            <v>2519</v>
          </cell>
          <cell r="N110">
            <v>5937</v>
          </cell>
          <cell r="O110">
            <v>110.447</v>
          </cell>
          <cell r="P110">
            <v>382.78699999999998</v>
          </cell>
        </row>
        <row r="111">
          <cell r="A111" t="str">
            <v>1993/94</v>
          </cell>
          <cell r="B111" t="str">
            <v>Q2</v>
          </cell>
          <cell r="D111">
            <v>5937</v>
          </cell>
          <cell r="F111">
            <v>7.95</v>
          </cell>
          <cell r="G111">
            <v>5945</v>
          </cell>
          <cell r="J111">
            <v>1240</v>
          </cell>
          <cell r="K111">
            <v>1619</v>
          </cell>
          <cell r="L111">
            <v>330</v>
          </cell>
          <cell r="M111">
            <v>1949</v>
          </cell>
          <cell r="N111">
            <v>3996</v>
          </cell>
          <cell r="O111">
            <v>117.923</v>
          </cell>
          <cell r="P111">
            <v>378.91800000000001</v>
          </cell>
        </row>
        <row r="112">
          <cell r="A112" t="str">
            <v>1993/94</v>
          </cell>
          <cell r="B112" t="str">
            <v>Q3</v>
          </cell>
          <cell r="D112">
            <v>3996</v>
          </cell>
          <cell r="F112">
            <v>6.27</v>
          </cell>
          <cell r="G112">
            <v>4002</v>
          </cell>
          <cell r="J112">
            <v>950</v>
          </cell>
          <cell r="K112">
            <v>1372</v>
          </cell>
          <cell r="L112">
            <v>270</v>
          </cell>
          <cell r="M112">
            <v>1642</v>
          </cell>
          <cell r="N112">
            <v>2360</v>
          </cell>
          <cell r="O112">
            <v>113.104</v>
          </cell>
          <cell r="P112">
            <v>422.71499999999997</v>
          </cell>
        </row>
        <row r="113">
          <cell r="A113" t="str">
            <v>1993/94</v>
          </cell>
          <cell r="B113" t="str">
            <v>Q4</v>
          </cell>
          <cell r="D113">
            <v>2360</v>
          </cell>
          <cell r="F113">
            <v>1.38</v>
          </cell>
          <cell r="G113">
            <v>2361</v>
          </cell>
          <cell r="J113">
            <v>789</v>
          </cell>
          <cell r="K113">
            <v>1218</v>
          </cell>
          <cell r="L113">
            <v>293</v>
          </cell>
          <cell r="M113">
            <v>1511</v>
          </cell>
          <cell r="N113">
            <v>850</v>
          </cell>
          <cell r="O113">
            <v>116.786</v>
          </cell>
          <cell r="P113">
            <v>428.73399999999998</v>
          </cell>
        </row>
        <row r="114">
          <cell r="A114" t="str">
            <v>1993/94</v>
          </cell>
          <cell r="B114" t="str">
            <v>MY</v>
          </cell>
          <cell r="D114">
            <v>2113</v>
          </cell>
          <cell r="E114">
            <v>6338</v>
          </cell>
          <cell r="F114">
            <v>20.82</v>
          </cell>
          <cell r="G114">
            <v>8472</v>
          </cell>
          <cell r="J114">
            <v>4680</v>
          </cell>
          <cell r="K114">
            <v>6293</v>
          </cell>
          <cell r="L114">
            <v>1328</v>
          </cell>
          <cell r="M114">
            <v>7621</v>
          </cell>
          <cell r="N114">
            <v>850</v>
          </cell>
          <cell r="O114">
            <v>458.25900000000001</v>
          </cell>
          <cell r="P114">
            <v>1613.154</v>
          </cell>
        </row>
        <row r="115">
          <cell r="B115" t="str">
            <v/>
          </cell>
        </row>
        <row r="116">
          <cell r="A116" t="str">
            <v>1994/95</v>
          </cell>
          <cell r="B116" t="str">
            <v>Q1</v>
          </cell>
          <cell r="D116">
            <v>850</v>
          </cell>
          <cell r="E116">
            <v>10051</v>
          </cell>
          <cell r="F116">
            <v>2.06</v>
          </cell>
          <cell r="G116">
            <v>10903</v>
          </cell>
          <cell r="J116">
            <v>1963</v>
          </cell>
          <cell r="K116">
            <v>2373</v>
          </cell>
          <cell r="L116">
            <v>449</v>
          </cell>
          <cell r="M116">
            <v>2822</v>
          </cell>
          <cell r="N116">
            <v>8080</v>
          </cell>
          <cell r="O116">
            <v>132.751</v>
          </cell>
          <cell r="P116">
            <v>410.36099999999999</v>
          </cell>
        </row>
        <row r="117">
          <cell r="A117" t="str">
            <v>1994/95</v>
          </cell>
          <cell r="B117" t="str">
            <v>Q2</v>
          </cell>
          <cell r="D117">
            <v>8080</v>
          </cell>
          <cell r="F117">
            <v>3.74</v>
          </cell>
          <cell r="G117">
            <v>8084</v>
          </cell>
          <cell r="J117">
            <v>1492</v>
          </cell>
          <cell r="K117">
            <v>1902</v>
          </cell>
          <cell r="L117">
            <v>590</v>
          </cell>
          <cell r="M117">
            <v>2493</v>
          </cell>
          <cell r="N117">
            <v>5592</v>
          </cell>
          <cell r="O117">
            <v>140.17599999999999</v>
          </cell>
          <cell r="P117">
            <v>410.53</v>
          </cell>
        </row>
        <row r="118">
          <cell r="A118" t="str">
            <v>1994/95</v>
          </cell>
          <cell r="B118" t="str">
            <v>Q3</v>
          </cell>
          <cell r="D118">
            <v>5592</v>
          </cell>
          <cell r="F118">
            <v>3</v>
          </cell>
          <cell r="G118">
            <v>5595</v>
          </cell>
          <cell r="J118">
            <v>1159</v>
          </cell>
          <cell r="K118">
            <v>1612</v>
          </cell>
          <cell r="L118">
            <v>568</v>
          </cell>
          <cell r="M118">
            <v>2180</v>
          </cell>
          <cell r="N118">
            <v>3415</v>
          </cell>
          <cell r="O118">
            <v>139.114</v>
          </cell>
          <cell r="P118">
            <v>452.48099999999999</v>
          </cell>
        </row>
        <row r="119">
          <cell r="A119" t="str">
            <v>1994/95</v>
          </cell>
          <cell r="B119" t="str">
            <v>Q4</v>
          </cell>
          <cell r="D119">
            <v>3415</v>
          </cell>
          <cell r="F119">
            <v>0.76</v>
          </cell>
          <cell r="G119">
            <v>3416</v>
          </cell>
          <cell r="J119">
            <v>846</v>
          </cell>
          <cell r="K119">
            <v>1288</v>
          </cell>
          <cell r="L119">
            <v>570</v>
          </cell>
          <cell r="M119">
            <v>1858</v>
          </cell>
          <cell r="N119">
            <v>1558</v>
          </cell>
          <cell r="O119">
            <v>120.751</v>
          </cell>
          <cell r="P119">
            <v>441.82499999999999</v>
          </cell>
        </row>
        <row r="120">
          <cell r="A120" t="str">
            <v>1994/95</v>
          </cell>
          <cell r="B120" t="str">
            <v>MY</v>
          </cell>
          <cell r="D120">
            <v>850</v>
          </cell>
          <cell r="E120">
            <v>10051</v>
          </cell>
          <cell r="F120">
            <v>9.56</v>
          </cell>
          <cell r="G120">
            <v>10910</v>
          </cell>
          <cell r="J120">
            <v>5460</v>
          </cell>
          <cell r="K120">
            <v>7175</v>
          </cell>
          <cell r="L120">
            <v>2177</v>
          </cell>
          <cell r="M120">
            <v>9352</v>
          </cell>
          <cell r="N120">
            <v>1558</v>
          </cell>
          <cell r="O120">
            <v>532.79300000000001</v>
          </cell>
          <cell r="P120">
            <v>1715.1990000000001</v>
          </cell>
        </row>
        <row r="121">
          <cell r="B121" t="str">
            <v/>
          </cell>
        </row>
        <row r="122">
          <cell r="A122" t="str">
            <v>1995/96</v>
          </cell>
          <cell r="B122" t="str">
            <v>Q1</v>
          </cell>
          <cell r="D122">
            <v>1558</v>
          </cell>
          <cell r="E122">
            <v>7400</v>
          </cell>
          <cell r="F122">
            <v>3.65</v>
          </cell>
          <cell r="G122">
            <v>8962</v>
          </cell>
          <cell r="J122">
            <v>1778</v>
          </cell>
          <cell r="K122">
            <v>2195</v>
          </cell>
          <cell r="L122">
            <v>660</v>
          </cell>
          <cell r="M122">
            <v>2856</v>
          </cell>
          <cell r="N122">
            <v>6106</v>
          </cell>
          <cell r="O122">
            <v>121.2</v>
          </cell>
          <cell r="P122">
            <v>417.15100000000001</v>
          </cell>
        </row>
        <row r="123">
          <cell r="A123" t="str">
            <v>1995/96</v>
          </cell>
          <cell r="B123" t="str">
            <v>Q2</v>
          </cell>
          <cell r="D123">
            <v>6106</v>
          </cell>
          <cell r="F123">
            <v>4.96</v>
          </cell>
          <cell r="G123">
            <v>6111</v>
          </cell>
          <cell r="J123">
            <v>1344</v>
          </cell>
          <cell r="K123">
            <v>1749</v>
          </cell>
          <cell r="L123">
            <v>562</v>
          </cell>
          <cell r="M123">
            <v>2311</v>
          </cell>
          <cell r="N123">
            <v>3800</v>
          </cell>
          <cell r="O123">
            <v>120.8</v>
          </cell>
          <cell r="P123">
            <v>405.541</v>
          </cell>
        </row>
        <row r="124">
          <cell r="A124" t="str">
            <v>1995/96</v>
          </cell>
          <cell r="B124" t="str">
            <v>Q3</v>
          </cell>
          <cell r="D124">
            <v>3800</v>
          </cell>
          <cell r="F124">
            <v>5.0199999999999996</v>
          </cell>
          <cell r="G124">
            <v>3805</v>
          </cell>
          <cell r="J124">
            <v>1042</v>
          </cell>
          <cell r="K124">
            <v>1477</v>
          </cell>
          <cell r="L124">
            <v>610</v>
          </cell>
          <cell r="M124">
            <v>2087</v>
          </cell>
          <cell r="N124">
            <v>1718</v>
          </cell>
          <cell r="O124">
            <v>92.2</v>
          </cell>
          <cell r="P124">
            <v>434.52199999999999</v>
          </cell>
        </row>
        <row r="125">
          <cell r="A125" t="str">
            <v>1995/96</v>
          </cell>
          <cell r="B125" t="str">
            <v>Q4</v>
          </cell>
          <cell r="D125">
            <v>1718</v>
          </cell>
          <cell r="F125">
            <v>2.86</v>
          </cell>
          <cell r="G125">
            <v>1721</v>
          </cell>
          <cell r="J125">
            <v>527</v>
          </cell>
          <cell r="K125">
            <v>899</v>
          </cell>
          <cell r="L125">
            <v>396</v>
          </cell>
          <cell r="M125">
            <v>1295</v>
          </cell>
          <cell r="N125">
            <v>426</v>
          </cell>
          <cell r="O125">
            <v>61.5</v>
          </cell>
          <cell r="P125">
            <v>372.73399999999998</v>
          </cell>
        </row>
        <row r="126">
          <cell r="A126" t="str">
            <v>1995/96</v>
          </cell>
          <cell r="B126" t="str">
            <v>MY</v>
          </cell>
          <cell r="D126">
            <v>1558</v>
          </cell>
          <cell r="E126">
            <v>7400</v>
          </cell>
          <cell r="F126">
            <v>16.489999999999998</v>
          </cell>
          <cell r="G126">
            <v>8974</v>
          </cell>
          <cell r="J126">
            <v>4691</v>
          </cell>
          <cell r="K126">
            <v>6321</v>
          </cell>
          <cell r="L126">
            <v>2228</v>
          </cell>
          <cell r="M126">
            <v>8548</v>
          </cell>
          <cell r="N126">
            <v>426</v>
          </cell>
          <cell r="O126">
            <v>395.68</v>
          </cell>
          <cell r="P126">
            <v>1629.9280000000001</v>
          </cell>
        </row>
        <row r="127">
          <cell r="B127" t="str">
            <v/>
          </cell>
        </row>
        <row r="128">
          <cell r="A128" t="str">
            <v>1996/97</v>
          </cell>
          <cell r="B128" t="str">
            <v>Q1</v>
          </cell>
          <cell r="D128">
            <v>426</v>
          </cell>
          <cell r="E128">
            <v>9233</v>
          </cell>
          <cell r="F128">
            <v>3.44</v>
          </cell>
          <cell r="G128">
            <v>9662</v>
          </cell>
          <cell r="J128">
            <v>1885</v>
          </cell>
          <cell r="K128">
            <v>2272</v>
          </cell>
          <cell r="L128">
            <v>487</v>
          </cell>
          <cell r="M128">
            <v>2759</v>
          </cell>
          <cell r="N128">
            <v>6903</v>
          </cell>
          <cell r="O128">
            <v>91.918000000000006</v>
          </cell>
          <cell r="P128">
            <v>387.863</v>
          </cell>
        </row>
        <row r="129">
          <cell r="A129" t="str">
            <v>1996/97</v>
          </cell>
          <cell r="B129" t="str">
            <v>Q2</v>
          </cell>
          <cell r="D129">
            <v>6903</v>
          </cell>
          <cell r="F129">
            <v>2.35</v>
          </cell>
          <cell r="G129">
            <v>6905</v>
          </cell>
          <cell r="J129">
            <v>1486</v>
          </cell>
          <cell r="K129">
            <v>1886</v>
          </cell>
          <cell r="L129">
            <v>525</v>
          </cell>
          <cell r="M129">
            <v>2411</v>
          </cell>
          <cell r="N129">
            <v>4494</v>
          </cell>
          <cell r="O129">
            <v>106.164</v>
          </cell>
          <cell r="P129">
            <v>400.32400000000001</v>
          </cell>
        </row>
        <row r="130">
          <cell r="A130" t="str">
            <v>1996/97</v>
          </cell>
          <cell r="B130" t="str">
            <v>Q3</v>
          </cell>
          <cell r="D130">
            <v>4494</v>
          </cell>
          <cell r="F130">
            <v>3.72</v>
          </cell>
          <cell r="G130">
            <v>4498</v>
          </cell>
          <cell r="J130">
            <v>1095</v>
          </cell>
          <cell r="K130">
            <v>1568</v>
          </cell>
          <cell r="L130">
            <v>433</v>
          </cell>
          <cell r="M130">
            <v>2001</v>
          </cell>
          <cell r="N130">
            <v>2497</v>
          </cell>
          <cell r="O130">
            <v>119.23699999999999</v>
          </cell>
          <cell r="P130">
            <v>472.95100000000002</v>
          </cell>
        </row>
        <row r="131">
          <cell r="A131" t="str">
            <v>1996/97</v>
          </cell>
          <cell r="B131" t="str">
            <v>Q4</v>
          </cell>
          <cell r="D131">
            <v>2497</v>
          </cell>
          <cell r="F131">
            <v>3.75</v>
          </cell>
          <cell r="G131">
            <v>2500</v>
          </cell>
          <cell r="J131">
            <v>809</v>
          </cell>
          <cell r="K131">
            <v>1264</v>
          </cell>
          <cell r="L131">
            <v>353</v>
          </cell>
          <cell r="M131">
            <v>1617</v>
          </cell>
          <cell r="N131">
            <v>883</v>
          </cell>
          <cell r="O131">
            <v>111.40300000000001</v>
          </cell>
          <cell r="P131">
            <v>454.99200000000002</v>
          </cell>
        </row>
        <row r="132">
          <cell r="A132" t="str">
            <v>1996/97</v>
          </cell>
          <cell r="B132" t="str">
            <v>MY</v>
          </cell>
          <cell r="D132">
            <v>426</v>
          </cell>
          <cell r="E132">
            <v>9233</v>
          </cell>
          <cell r="F132">
            <v>13.26</v>
          </cell>
          <cell r="G132">
            <v>9672</v>
          </cell>
          <cell r="J132">
            <v>5275</v>
          </cell>
          <cell r="K132">
            <v>6991</v>
          </cell>
          <cell r="L132">
            <v>1797</v>
          </cell>
          <cell r="M132">
            <v>8789</v>
          </cell>
          <cell r="N132">
            <v>883</v>
          </cell>
          <cell r="O132">
            <v>428.721</v>
          </cell>
          <cell r="P132">
            <v>1716.13</v>
          </cell>
        </row>
        <row r="133">
          <cell r="B133" t="str">
            <v/>
          </cell>
        </row>
        <row r="134">
          <cell r="A134" t="str">
            <v>1997/98</v>
          </cell>
          <cell r="B134" t="str">
            <v>Q1</v>
          </cell>
          <cell r="D134">
            <v>883</v>
          </cell>
          <cell r="E134">
            <v>9207</v>
          </cell>
          <cell r="F134">
            <v>2.21</v>
          </cell>
          <cell r="G134">
            <v>10092</v>
          </cell>
          <cell r="J134">
            <v>2027</v>
          </cell>
          <cell r="K134">
            <v>2465</v>
          </cell>
          <cell r="L134">
            <v>380</v>
          </cell>
          <cell r="M134">
            <v>2845</v>
          </cell>
          <cell r="N134">
            <v>7247</v>
          </cell>
          <cell r="O134">
            <v>114.28959999999999</v>
          </cell>
          <cell r="P134">
            <v>438.73172481005798</v>
          </cell>
        </row>
        <row r="135">
          <cell r="A135" t="str">
            <v>1997/98</v>
          </cell>
          <cell r="B135" t="str">
            <v>Q2</v>
          </cell>
          <cell r="D135">
            <v>7247</v>
          </cell>
          <cell r="F135">
            <v>0.99</v>
          </cell>
          <cell r="G135">
            <v>7248</v>
          </cell>
          <cell r="J135">
            <v>1495</v>
          </cell>
          <cell r="K135">
            <v>1928</v>
          </cell>
          <cell r="L135">
            <v>380</v>
          </cell>
          <cell r="M135">
            <v>2308</v>
          </cell>
          <cell r="N135">
            <v>4940</v>
          </cell>
          <cell r="O135">
            <v>126.85599999999999</v>
          </cell>
          <cell r="P135">
            <v>433.01089678880498</v>
          </cell>
        </row>
        <row r="136">
          <cell r="A136" t="str">
            <v>1997/98</v>
          </cell>
          <cell r="B136" t="str">
            <v>Q3</v>
          </cell>
          <cell r="D136">
            <v>4940</v>
          </cell>
          <cell r="F136">
            <v>3.61</v>
          </cell>
          <cell r="G136">
            <v>4944</v>
          </cell>
          <cell r="J136">
            <v>1072</v>
          </cell>
          <cell r="K136">
            <v>1553</v>
          </cell>
          <cell r="L136">
            <v>350</v>
          </cell>
          <cell r="M136">
            <v>1904</v>
          </cell>
          <cell r="N136">
            <v>3040</v>
          </cell>
          <cell r="O136">
            <v>120.31359999999999</v>
          </cell>
          <cell r="P136">
            <v>481.71528194985501</v>
          </cell>
        </row>
        <row r="137">
          <cell r="A137" t="str">
            <v>1997/98</v>
          </cell>
          <cell r="B137" t="str">
            <v>Q4</v>
          </cell>
          <cell r="D137">
            <v>3040</v>
          </cell>
          <cell r="F137">
            <v>2.0099999999999998</v>
          </cell>
          <cell r="G137">
            <v>3042</v>
          </cell>
          <cell r="J137">
            <v>855</v>
          </cell>
          <cell r="K137">
            <v>1340</v>
          </cell>
          <cell r="L137">
            <v>394</v>
          </cell>
          <cell r="M137">
            <v>1734</v>
          </cell>
          <cell r="N137">
            <v>1308</v>
          </cell>
          <cell r="O137">
            <v>126.2728</v>
          </cell>
          <cell r="P137">
            <v>485.27399852944097</v>
          </cell>
        </row>
        <row r="138">
          <cell r="A138" t="str">
            <v>1997/98</v>
          </cell>
          <cell r="B138" t="str">
            <v>MY</v>
          </cell>
          <cell r="D138">
            <v>883</v>
          </cell>
          <cell r="E138">
            <v>9207</v>
          </cell>
          <cell r="F138">
            <v>8.81</v>
          </cell>
          <cell r="G138">
            <v>10099</v>
          </cell>
          <cell r="J138">
            <v>5448</v>
          </cell>
          <cell r="K138">
            <v>7287</v>
          </cell>
          <cell r="L138">
            <v>1504</v>
          </cell>
          <cell r="M138">
            <v>8791</v>
          </cell>
          <cell r="N138">
            <v>1308</v>
          </cell>
          <cell r="O138">
            <v>487.73200000000003</v>
          </cell>
          <cell r="P138">
            <v>1838.7319020781599</v>
          </cell>
        </row>
        <row r="139">
          <cell r="B139" t="str">
            <v/>
          </cell>
        </row>
        <row r="140">
          <cell r="A140" t="str">
            <v>1998/99</v>
          </cell>
          <cell r="B140" t="str">
            <v>Q1</v>
          </cell>
          <cell r="D140">
            <v>1308</v>
          </cell>
          <cell r="E140">
            <v>9759</v>
          </cell>
          <cell r="F140">
            <v>4.03</v>
          </cell>
          <cell r="G140">
            <v>11071</v>
          </cell>
          <cell r="J140">
            <v>2118</v>
          </cell>
          <cell r="K140">
            <v>2568</v>
          </cell>
          <cell r="L140">
            <v>450</v>
          </cell>
          <cell r="M140">
            <v>3019</v>
          </cell>
          <cell r="N140">
            <v>8052</v>
          </cell>
          <cell r="O140">
            <v>127.1962</v>
          </cell>
          <cell r="P140">
            <v>450.27621167510898</v>
          </cell>
        </row>
        <row r="141">
          <cell r="A141" t="str">
            <v>1998/99</v>
          </cell>
          <cell r="B141" t="str">
            <v>Q2</v>
          </cell>
          <cell r="D141">
            <v>8052</v>
          </cell>
          <cell r="F141">
            <v>5.72</v>
          </cell>
          <cell r="G141">
            <v>8058</v>
          </cell>
          <cell r="J141">
            <v>1453</v>
          </cell>
          <cell r="K141">
            <v>1894</v>
          </cell>
          <cell r="L141">
            <v>465</v>
          </cell>
          <cell r="M141">
            <v>2359</v>
          </cell>
          <cell r="N141">
            <v>5698</v>
          </cell>
          <cell r="O141">
            <v>134.6386</v>
          </cell>
          <cell r="P141">
            <v>441.04767832419702</v>
          </cell>
        </row>
        <row r="142">
          <cell r="A142" t="str">
            <v>1998/99</v>
          </cell>
          <cell r="B142" t="str">
            <v>Q3</v>
          </cell>
          <cell r="D142">
            <v>5698</v>
          </cell>
          <cell r="F142">
            <v>7.24</v>
          </cell>
          <cell r="G142">
            <v>5706</v>
          </cell>
          <cell r="J142">
            <v>1089</v>
          </cell>
          <cell r="K142">
            <v>1592</v>
          </cell>
          <cell r="L142">
            <v>497</v>
          </cell>
          <cell r="M142">
            <v>2089</v>
          </cell>
          <cell r="N142">
            <v>3616</v>
          </cell>
          <cell r="O142">
            <v>137.78319999999999</v>
          </cell>
          <cell r="P142">
            <v>502.810070586206</v>
          </cell>
        </row>
        <row r="143">
          <cell r="A143" t="str">
            <v>1998/99</v>
          </cell>
          <cell r="B143" t="str">
            <v>Q4</v>
          </cell>
          <cell r="D143">
            <v>3616</v>
          </cell>
          <cell r="F143">
            <v>1.83</v>
          </cell>
          <cell r="G143">
            <v>3618</v>
          </cell>
          <cell r="J143">
            <v>789</v>
          </cell>
          <cell r="K143">
            <v>1260</v>
          </cell>
          <cell r="L143">
            <v>572</v>
          </cell>
          <cell r="M143">
            <v>1831</v>
          </cell>
          <cell r="N143">
            <v>1787</v>
          </cell>
          <cell r="O143">
            <v>118.202</v>
          </cell>
          <cell r="P143">
            <v>470.17719757975402</v>
          </cell>
        </row>
        <row r="144">
          <cell r="A144" t="str">
            <v>1998/99</v>
          </cell>
          <cell r="B144" t="str">
            <v>MY</v>
          </cell>
          <cell r="D144">
            <v>1308</v>
          </cell>
          <cell r="E144">
            <v>9759</v>
          </cell>
          <cell r="F144">
            <v>18.809999999999999</v>
          </cell>
          <cell r="G144">
            <v>11085</v>
          </cell>
          <cell r="J144">
            <v>5450</v>
          </cell>
          <cell r="K144">
            <v>7314</v>
          </cell>
          <cell r="L144">
            <v>1984</v>
          </cell>
          <cell r="M144">
            <v>9298</v>
          </cell>
          <cell r="N144">
            <v>1787</v>
          </cell>
          <cell r="O144">
            <v>517.82000000000005</v>
          </cell>
          <cell r="P144">
            <v>1864.3111581652699</v>
          </cell>
        </row>
        <row r="145">
          <cell r="B145" t="str">
            <v/>
          </cell>
        </row>
        <row r="146">
          <cell r="A146" t="str">
            <v>1999/00</v>
          </cell>
          <cell r="B146" t="str">
            <v>Q1</v>
          </cell>
          <cell r="D146">
            <v>1787</v>
          </cell>
          <cell r="E146">
            <v>9431</v>
          </cell>
          <cell r="F146">
            <v>3.55</v>
          </cell>
          <cell r="G146">
            <v>11221</v>
          </cell>
          <cell r="J146">
            <v>2183</v>
          </cell>
          <cell r="K146">
            <v>2647</v>
          </cell>
          <cell r="L146">
            <v>535</v>
          </cell>
          <cell r="M146">
            <v>3182</v>
          </cell>
          <cell r="N146">
            <v>8039</v>
          </cell>
          <cell r="O146">
            <v>131.07140000000001</v>
          </cell>
          <cell r="P146">
            <v>463.644712766341</v>
          </cell>
        </row>
        <row r="147">
          <cell r="A147" t="str">
            <v>1999/00</v>
          </cell>
          <cell r="B147" t="str">
            <v>Q2</v>
          </cell>
          <cell r="D147">
            <v>8039</v>
          </cell>
          <cell r="F147">
            <v>3.4</v>
          </cell>
          <cell r="G147">
            <v>8043</v>
          </cell>
          <cell r="J147">
            <v>1522</v>
          </cell>
          <cell r="K147">
            <v>1976</v>
          </cell>
          <cell r="L147">
            <v>465</v>
          </cell>
          <cell r="M147">
            <v>2441</v>
          </cell>
          <cell r="N147">
            <v>5602</v>
          </cell>
          <cell r="O147">
            <v>140.37860000000001</v>
          </cell>
          <cell r="P147">
            <v>454.108106272008</v>
          </cell>
        </row>
        <row r="148">
          <cell r="A148" t="str">
            <v>1999/00</v>
          </cell>
          <cell r="B148" t="str">
            <v>Q3</v>
          </cell>
          <cell r="D148">
            <v>5602</v>
          </cell>
          <cell r="F148">
            <v>5.52</v>
          </cell>
          <cell r="G148">
            <v>5607</v>
          </cell>
          <cell r="J148">
            <v>1047</v>
          </cell>
          <cell r="K148">
            <v>1570</v>
          </cell>
          <cell r="L148">
            <v>451</v>
          </cell>
          <cell r="M148">
            <v>2021</v>
          </cell>
          <cell r="N148">
            <v>3586</v>
          </cell>
          <cell r="O148">
            <v>150.51679999999999</v>
          </cell>
          <cell r="P148">
            <v>523.01360071031695</v>
          </cell>
        </row>
        <row r="149">
          <cell r="A149" t="str">
            <v>1999/00</v>
          </cell>
          <cell r="B149" t="str">
            <v>Q4</v>
          </cell>
          <cell r="D149">
            <v>3586</v>
          </cell>
          <cell r="F149">
            <v>2.2799999999999998</v>
          </cell>
          <cell r="G149">
            <v>3588</v>
          </cell>
          <cell r="J149">
            <v>888</v>
          </cell>
          <cell r="K149">
            <v>1385</v>
          </cell>
          <cell r="L149">
            <v>485</v>
          </cell>
          <cell r="M149">
            <v>1871</v>
          </cell>
          <cell r="N149">
            <v>1718</v>
          </cell>
          <cell r="O149">
            <v>143.88040000000001</v>
          </cell>
          <cell r="P149">
            <v>497.57890804854298</v>
          </cell>
        </row>
        <row r="150">
          <cell r="A150" t="str">
            <v>1999/00</v>
          </cell>
          <cell r="B150" t="str">
            <v>MY</v>
          </cell>
          <cell r="D150">
            <v>1787</v>
          </cell>
          <cell r="E150">
            <v>9431</v>
          </cell>
          <cell r="F150">
            <v>14.74</v>
          </cell>
          <cell r="G150">
            <v>11232</v>
          </cell>
          <cell r="J150">
            <v>5640</v>
          </cell>
          <cell r="K150">
            <v>7578</v>
          </cell>
          <cell r="L150">
            <v>1937</v>
          </cell>
          <cell r="M150">
            <v>9515</v>
          </cell>
          <cell r="N150">
            <v>1718</v>
          </cell>
          <cell r="O150">
            <v>565.84720000000004</v>
          </cell>
          <cell r="P150">
            <v>1938.3453277972101</v>
          </cell>
        </row>
        <row r="151">
          <cell r="B151" t="str">
            <v/>
          </cell>
        </row>
        <row r="152">
          <cell r="A152" t="str">
            <v>2000/01</v>
          </cell>
          <cell r="B152" t="str">
            <v>Q1</v>
          </cell>
          <cell r="D152">
            <v>1718</v>
          </cell>
          <cell r="E152">
            <v>9915</v>
          </cell>
          <cell r="F152">
            <v>1.29</v>
          </cell>
          <cell r="G152">
            <v>11634</v>
          </cell>
          <cell r="J152">
            <v>2125</v>
          </cell>
          <cell r="K152">
            <v>2598</v>
          </cell>
          <cell r="L152">
            <v>507</v>
          </cell>
          <cell r="M152">
            <v>3104</v>
          </cell>
          <cell r="N152">
            <v>8530</v>
          </cell>
          <cell r="O152">
            <v>144.26220000000001</v>
          </cell>
          <cell r="P152">
            <v>472.41945714822901</v>
          </cell>
        </row>
        <row r="153">
          <cell r="A153" t="str">
            <v>2000/01</v>
          </cell>
          <cell r="B153" t="str">
            <v>Q2</v>
          </cell>
          <cell r="D153">
            <v>8530</v>
          </cell>
          <cell r="F153">
            <v>0.91</v>
          </cell>
          <cell r="G153">
            <v>8531</v>
          </cell>
          <cell r="J153">
            <v>1602</v>
          </cell>
          <cell r="K153">
            <v>2072</v>
          </cell>
          <cell r="L153">
            <v>415</v>
          </cell>
          <cell r="M153">
            <v>2488</v>
          </cell>
          <cell r="N153">
            <v>6043</v>
          </cell>
          <cell r="O153">
            <v>159.08340000000001</v>
          </cell>
          <cell r="P153">
            <v>470.29333864844398</v>
          </cell>
        </row>
        <row r="154">
          <cell r="A154" t="str">
            <v>2000/01</v>
          </cell>
          <cell r="B154" t="str">
            <v>Q3</v>
          </cell>
          <cell r="D154">
            <v>6043</v>
          </cell>
          <cell r="F154">
            <v>3.12</v>
          </cell>
          <cell r="G154">
            <v>6046</v>
          </cell>
          <cell r="J154">
            <v>1145</v>
          </cell>
          <cell r="K154">
            <v>1667</v>
          </cell>
          <cell r="L154">
            <v>455</v>
          </cell>
          <cell r="M154">
            <v>2122</v>
          </cell>
          <cell r="N154">
            <v>3924</v>
          </cell>
          <cell r="O154">
            <v>161.292</v>
          </cell>
          <cell r="P154">
            <v>522.25150599386598</v>
          </cell>
        </row>
        <row r="155">
          <cell r="A155" t="str">
            <v>2000/01</v>
          </cell>
          <cell r="B155" t="str">
            <v>Q4</v>
          </cell>
          <cell r="D155">
            <v>3924</v>
          </cell>
          <cell r="F155">
            <v>1.5</v>
          </cell>
          <cell r="G155">
            <v>3925</v>
          </cell>
          <cell r="J155">
            <v>947</v>
          </cell>
          <cell r="K155">
            <v>1462</v>
          </cell>
          <cell r="L155">
            <v>564</v>
          </cell>
          <cell r="M155">
            <v>2026</v>
          </cell>
          <cell r="N155">
            <v>1899</v>
          </cell>
          <cell r="O155">
            <v>165.18960000000001</v>
          </cell>
          <cell r="P155">
            <v>515.10163859460397</v>
          </cell>
        </row>
        <row r="156">
          <cell r="A156" t="str">
            <v>2000/01</v>
          </cell>
          <cell r="B156" t="str">
            <v>MY</v>
          </cell>
          <cell r="D156">
            <v>1718</v>
          </cell>
          <cell r="E156">
            <v>9915</v>
          </cell>
          <cell r="F156">
            <v>6.82</v>
          </cell>
          <cell r="G156">
            <v>11639</v>
          </cell>
          <cell r="J156">
            <v>5819</v>
          </cell>
          <cell r="K156">
            <v>7799</v>
          </cell>
          <cell r="L156">
            <v>1941</v>
          </cell>
          <cell r="M156">
            <v>9740</v>
          </cell>
          <cell r="N156">
            <v>1899</v>
          </cell>
          <cell r="O156">
            <v>629.82719999999995</v>
          </cell>
          <cell r="P156">
            <v>1980.06594038514</v>
          </cell>
        </row>
        <row r="157">
          <cell r="B157" t="str">
            <v/>
          </cell>
        </row>
        <row r="158">
          <cell r="A158" t="str">
            <v>2001/02</v>
          </cell>
          <cell r="B158" t="str">
            <v>Q1</v>
          </cell>
          <cell r="D158">
            <v>1899</v>
          </cell>
          <cell r="E158">
            <v>9503</v>
          </cell>
          <cell r="F158">
            <v>2.4500000000000002</v>
          </cell>
          <cell r="G158">
            <v>11404</v>
          </cell>
          <cell r="J158">
            <v>2194</v>
          </cell>
          <cell r="K158">
            <v>2692</v>
          </cell>
          <cell r="L158">
            <v>448</v>
          </cell>
          <cell r="M158">
            <v>3139</v>
          </cell>
          <cell r="N158">
            <v>8265</v>
          </cell>
          <cell r="O158">
            <v>169.90338461538499</v>
          </cell>
          <cell r="P158">
            <v>497.27194508035598</v>
          </cell>
        </row>
        <row r="159">
          <cell r="A159" t="str">
            <v>2001/02</v>
          </cell>
          <cell r="B159" t="str">
            <v>Q2</v>
          </cell>
          <cell r="D159">
            <v>8265</v>
          </cell>
          <cell r="F159">
            <v>1.68</v>
          </cell>
          <cell r="G159">
            <v>8266</v>
          </cell>
          <cell r="J159">
            <v>1538</v>
          </cell>
          <cell r="K159">
            <v>2023</v>
          </cell>
          <cell r="L159">
            <v>448</v>
          </cell>
          <cell r="M159">
            <v>2471</v>
          </cell>
          <cell r="N159">
            <v>5795</v>
          </cell>
          <cell r="O159">
            <v>175.007653846154</v>
          </cell>
          <cell r="P159">
            <v>485.147206878708</v>
          </cell>
        </row>
        <row r="160">
          <cell r="A160" t="str">
            <v>2001/02</v>
          </cell>
          <cell r="B160" t="str">
            <v>Q3</v>
          </cell>
          <cell r="D160">
            <v>5795</v>
          </cell>
          <cell r="F160">
            <v>4.1500000000000004</v>
          </cell>
          <cell r="G160">
            <v>5799</v>
          </cell>
          <cell r="J160">
            <v>1160</v>
          </cell>
          <cell r="K160">
            <v>1706</v>
          </cell>
          <cell r="L160">
            <v>497</v>
          </cell>
          <cell r="M160">
            <v>2203</v>
          </cell>
          <cell r="N160">
            <v>3597</v>
          </cell>
          <cell r="O160">
            <v>179.69157692307701</v>
          </cell>
          <cell r="P160">
            <v>546.00494790323501</v>
          </cell>
        </row>
        <row r="161">
          <cell r="A161" t="str">
            <v>2001/02</v>
          </cell>
          <cell r="B161" t="str">
            <v>Q4</v>
          </cell>
          <cell r="D161">
            <v>3597</v>
          </cell>
          <cell r="F161">
            <v>1.86</v>
          </cell>
          <cell r="G161">
            <v>3599</v>
          </cell>
          <cell r="J161">
            <v>954</v>
          </cell>
          <cell r="K161">
            <v>1491</v>
          </cell>
          <cell r="L161">
            <v>512</v>
          </cell>
          <cell r="M161">
            <v>2002</v>
          </cell>
          <cell r="N161">
            <v>1596</v>
          </cell>
          <cell r="O161">
            <v>182.63584615384599</v>
          </cell>
          <cell r="P161">
            <v>537.01537029996905</v>
          </cell>
        </row>
        <row r="162">
          <cell r="A162" t="str">
            <v>2001/02</v>
          </cell>
          <cell r="B162" t="str">
            <v>MY</v>
          </cell>
          <cell r="D162">
            <v>1899</v>
          </cell>
          <cell r="E162">
            <v>9503</v>
          </cell>
          <cell r="F162">
            <v>10.14</v>
          </cell>
          <cell r="G162">
            <v>11412</v>
          </cell>
          <cell r="J162">
            <v>5845</v>
          </cell>
          <cell r="K162">
            <v>7911</v>
          </cell>
          <cell r="L162">
            <v>1905</v>
          </cell>
          <cell r="M162">
            <v>9815</v>
          </cell>
          <cell r="N162">
            <v>1596</v>
          </cell>
          <cell r="O162">
            <v>707.23846153846102</v>
          </cell>
          <cell r="P162">
            <v>2065.43947016227</v>
          </cell>
        </row>
        <row r="163">
          <cell r="B163" t="str">
            <v/>
          </cell>
        </row>
        <row r="164">
          <cell r="A164" t="str">
            <v>2002/03</v>
          </cell>
          <cell r="B164" t="str">
            <v>Q1</v>
          </cell>
          <cell r="D164">
            <v>1596</v>
          </cell>
          <cell r="E164">
            <v>8967</v>
          </cell>
          <cell r="F164">
            <v>3.43</v>
          </cell>
          <cell r="G164">
            <v>10567</v>
          </cell>
          <cell r="J164">
            <v>1983</v>
          </cell>
          <cell r="K164">
            <v>2535</v>
          </cell>
          <cell r="L164">
            <v>393</v>
          </cell>
          <cell r="M164">
            <v>2929</v>
          </cell>
          <cell r="N164">
            <v>7638</v>
          </cell>
          <cell r="O164">
            <v>225.85937007874</v>
          </cell>
          <cell r="P164">
            <v>552.681899894651</v>
          </cell>
        </row>
        <row r="165">
          <cell r="A165" t="str">
            <v>2002/03</v>
          </cell>
          <cell r="B165" t="str">
            <v>Q2</v>
          </cell>
          <cell r="D165">
            <v>7638</v>
          </cell>
          <cell r="F165">
            <v>4.0599999999999996</v>
          </cell>
          <cell r="G165">
            <v>7642</v>
          </cell>
          <cell r="J165">
            <v>1554</v>
          </cell>
          <cell r="K165">
            <v>2120</v>
          </cell>
          <cell r="L165">
            <v>390</v>
          </cell>
          <cell r="M165">
            <v>2510</v>
          </cell>
          <cell r="N165">
            <v>5132</v>
          </cell>
          <cell r="O165">
            <v>249.299251968504</v>
          </cell>
          <cell r="P165">
            <v>565.67009922642899</v>
          </cell>
        </row>
        <row r="166">
          <cell r="A166" t="str">
            <v>2002/03</v>
          </cell>
          <cell r="B166" t="str">
            <v>Q3</v>
          </cell>
          <cell r="D166">
            <v>5132</v>
          </cell>
          <cell r="F166">
            <v>5.15</v>
          </cell>
          <cell r="G166">
            <v>5137</v>
          </cell>
          <cell r="J166">
            <v>1134</v>
          </cell>
          <cell r="K166">
            <v>1759</v>
          </cell>
          <cell r="L166">
            <v>393</v>
          </cell>
          <cell r="M166">
            <v>2152</v>
          </cell>
          <cell r="N166">
            <v>2985</v>
          </cell>
          <cell r="O166">
            <v>256.52102362204698</v>
          </cell>
          <cell r="P166">
            <v>625.05272916106799</v>
          </cell>
        </row>
        <row r="167">
          <cell r="A167" t="str">
            <v>2002/03</v>
          </cell>
          <cell r="B167" t="str">
            <v>Q4</v>
          </cell>
          <cell r="D167">
            <v>2985</v>
          </cell>
          <cell r="F167">
            <v>1.81</v>
          </cell>
          <cell r="G167">
            <v>2987</v>
          </cell>
          <cell r="J167">
            <v>874</v>
          </cell>
          <cell r="K167">
            <v>1489</v>
          </cell>
          <cell r="L167">
            <v>411</v>
          </cell>
          <cell r="M167">
            <v>1900</v>
          </cell>
          <cell r="N167">
            <v>1087</v>
          </cell>
          <cell r="O167">
            <v>263.82429133858301</v>
          </cell>
          <cell r="P167">
            <v>615.15900228964495</v>
          </cell>
        </row>
        <row r="168">
          <cell r="A168" t="str">
            <v>2002/03</v>
          </cell>
          <cell r="B168" t="str">
            <v>MY</v>
          </cell>
          <cell r="D168">
            <v>1596</v>
          </cell>
          <cell r="E168">
            <v>8967</v>
          </cell>
          <cell r="F168">
            <v>14.45</v>
          </cell>
          <cell r="G168">
            <v>10578</v>
          </cell>
          <cell r="J168">
            <v>5545</v>
          </cell>
          <cell r="K168">
            <v>7903</v>
          </cell>
          <cell r="L168">
            <v>1588</v>
          </cell>
          <cell r="M168">
            <v>9491</v>
          </cell>
          <cell r="N168">
            <v>1087</v>
          </cell>
          <cell r="O168">
            <v>995.50393700787401</v>
          </cell>
          <cell r="P168">
            <v>2358.5637305717901</v>
          </cell>
        </row>
        <row r="169">
          <cell r="B169" t="str">
            <v/>
          </cell>
        </row>
        <row r="170">
          <cell r="A170" t="str">
            <v>2003/04</v>
          </cell>
          <cell r="B170" t="str">
            <v>Q1</v>
          </cell>
          <cell r="D170">
            <v>1087</v>
          </cell>
          <cell r="E170">
            <v>10087</v>
          </cell>
          <cell r="F170">
            <v>2.46</v>
          </cell>
          <cell r="G170">
            <v>11176</v>
          </cell>
          <cell r="J170">
            <v>2160</v>
          </cell>
          <cell r="K170">
            <v>2753</v>
          </cell>
          <cell r="L170">
            <v>470</v>
          </cell>
          <cell r="M170">
            <v>3223</v>
          </cell>
          <cell r="N170">
            <v>7954</v>
          </cell>
          <cell r="O170">
            <v>262.47727272727298</v>
          </cell>
          <cell r="P170">
            <v>592.61885142011897</v>
          </cell>
        </row>
        <row r="171">
          <cell r="A171" t="str">
            <v>2003/04</v>
          </cell>
          <cell r="B171" t="str">
            <v>Q2</v>
          </cell>
          <cell r="D171">
            <v>7954</v>
          </cell>
          <cell r="F171">
            <v>3.52</v>
          </cell>
          <cell r="G171">
            <v>7957</v>
          </cell>
          <cell r="J171">
            <v>1569</v>
          </cell>
          <cell r="K171">
            <v>2180</v>
          </cell>
          <cell r="L171">
            <v>506</v>
          </cell>
          <cell r="M171">
            <v>2686</v>
          </cell>
          <cell r="N171">
            <v>5271</v>
          </cell>
          <cell r="O171">
            <v>290.30984848484798</v>
          </cell>
          <cell r="P171">
            <v>610.60067789291202</v>
          </cell>
        </row>
        <row r="172">
          <cell r="A172" t="str">
            <v>2003/04</v>
          </cell>
          <cell r="B172" t="str">
            <v>Q3</v>
          </cell>
          <cell r="D172">
            <v>5271</v>
          </cell>
          <cell r="F172">
            <v>5.12</v>
          </cell>
          <cell r="G172">
            <v>5277</v>
          </cell>
          <cell r="J172">
            <v>1159</v>
          </cell>
          <cell r="K172">
            <v>1842</v>
          </cell>
          <cell r="L172">
            <v>465</v>
          </cell>
          <cell r="M172">
            <v>2306</v>
          </cell>
          <cell r="N172">
            <v>2970</v>
          </cell>
          <cell r="O172">
            <v>304.64393939393898</v>
          </cell>
          <cell r="P172">
            <v>682.54553907254206</v>
          </cell>
        </row>
        <row r="173">
          <cell r="A173" t="str">
            <v>2003/04</v>
          </cell>
          <cell r="B173" t="str">
            <v>Q4</v>
          </cell>
          <cell r="D173">
            <v>2970</v>
          </cell>
          <cell r="F173">
            <v>2.97</v>
          </cell>
          <cell r="G173">
            <v>2973</v>
          </cell>
          <cell r="J173">
            <v>889</v>
          </cell>
          <cell r="K173">
            <v>1556</v>
          </cell>
          <cell r="L173">
            <v>459</v>
          </cell>
          <cell r="M173">
            <v>2015</v>
          </cell>
          <cell r="N173">
            <v>958</v>
          </cell>
          <cell r="O173">
            <v>310.11666666666702</v>
          </cell>
          <cell r="P173">
            <v>666.72828949379095</v>
          </cell>
        </row>
        <row r="174">
          <cell r="A174" t="str">
            <v>2003/04</v>
          </cell>
          <cell r="B174" t="str">
            <v>MY</v>
          </cell>
          <cell r="D174">
            <v>1087</v>
          </cell>
          <cell r="E174">
            <v>10087</v>
          </cell>
          <cell r="F174">
            <v>14.08</v>
          </cell>
          <cell r="G174">
            <v>11188</v>
          </cell>
          <cell r="J174">
            <v>5778</v>
          </cell>
          <cell r="K174">
            <v>8330</v>
          </cell>
          <cell r="L174">
            <v>1900</v>
          </cell>
          <cell r="M174">
            <v>10230</v>
          </cell>
          <cell r="N174">
            <v>958</v>
          </cell>
          <cell r="O174">
            <v>1167.5477272727301</v>
          </cell>
          <cell r="P174">
            <v>2552.4933578793598</v>
          </cell>
        </row>
        <row r="175">
          <cell r="B175" t="str">
            <v/>
          </cell>
        </row>
        <row r="176">
          <cell r="A176" t="str">
            <v>2004/05</v>
          </cell>
          <cell r="B176" t="str">
            <v>Q1</v>
          </cell>
          <cell r="D176">
            <v>958</v>
          </cell>
          <cell r="E176">
            <v>11806</v>
          </cell>
          <cell r="F176">
            <v>1.64</v>
          </cell>
          <cell r="G176">
            <v>12765</v>
          </cell>
          <cell r="J176">
            <v>2169</v>
          </cell>
          <cell r="K176">
            <v>2814</v>
          </cell>
          <cell r="L176">
            <v>499</v>
          </cell>
          <cell r="M176">
            <v>3313</v>
          </cell>
          <cell r="N176">
            <v>9452</v>
          </cell>
          <cell r="O176">
            <v>311.63713207547198</v>
          </cell>
          <cell r="P176">
            <v>645.26929321661498</v>
          </cell>
        </row>
        <row r="177">
          <cell r="A177" t="str">
            <v>2004/05</v>
          </cell>
          <cell r="B177" t="str">
            <v>Q2</v>
          </cell>
          <cell r="D177">
            <v>9452</v>
          </cell>
          <cell r="F177">
            <v>1.7</v>
          </cell>
          <cell r="G177">
            <v>9454</v>
          </cell>
          <cell r="J177">
            <v>1619</v>
          </cell>
          <cell r="K177">
            <v>2259</v>
          </cell>
          <cell r="L177">
            <v>439</v>
          </cell>
          <cell r="M177">
            <v>2698</v>
          </cell>
          <cell r="N177">
            <v>6756</v>
          </cell>
          <cell r="O177">
            <v>323.81660377358497</v>
          </cell>
          <cell r="P177">
            <v>639.68893254624595</v>
          </cell>
        </row>
        <row r="178">
          <cell r="A178" t="str">
            <v>2004/05</v>
          </cell>
          <cell r="B178" t="str">
            <v>Q3</v>
          </cell>
          <cell r="D178">
            <v>6756</v>
          </cell>
          <cell r="F178">
            <v>4.01</v>
          </cell>
          <cell r="G178">
            <v>6760</v>
          </cell>
          <cell r="J178">
            <v>1301</v>
          </cell>
          <cell r="K178">
            <v>2011</v>
          </cell>
          <cell r="L178">
            <v>428</v>
          </cell>
          <cell r="M178">
            <v>2440</v>
          </cell>
          <cell r="N178">
            <v>4321</v>
          </cell>
          <cell r="O178">
            <v>332.15426415094299</v>
          </cell>
          <cell r="P178">
            <v>709.84997004700904</v>
          </cell>
        </row>
        <row r="179">
          <cell r="A179" t="str">
            <v>2004/05</v>
          </cell>
          <cell r="B179" t="str">
            <v>Q4</v>
          </cell>
          <cell r="D179">
            <v>4321</v>
          </cell>
          <cell r="F179">
            <v>3.49</v>
          </cell>
          <cell r="G179">
            <v>4324</v>
          </cell>
          <cell r="J179">
            <v>1043</v>
          </cell>
          <cell r="K179">
            <v>1759</v>
          </cell>
          <cell r="L179">
            <v>452</v>
          </cell>
          <cell r="M179">
            <v>2210</v>
          </cell>
          <cell r="N179">
            <v>2114</v>
          </cell>
          <cell r="O179">
            <v>355.604528301887</v>
          </cell>
          <cell r="P179">
            <v>716.01580456659997</v>
          </cell>
        </row>
        <row r="180">
          <cell r="A180" t="str">
            <v>2004/05</v>
          </cell>
          <cell r="B180" t="str">
            <v>MY</v>
          </cell>
          <cell r="D180">
            <v>958</v>
          </cell>
          <cell r="E180">
            <v>11806</v>
          </cell>
          <cell r="F180">
            <v>10.83</v>
          </cell>
          <cell r="G180">
            <v>12775</v>
          </cell>
          <cell r="J180">
            <v>6132</v>
          </cell>
          <cell r="K180">
            <v>8842</v>
          </cell>
          <cell r="L180">
            <v>1818</v>
          </cell>
          <cell r="M180">
            <v>10661</v>
          </cell>
          <cell r="N180">
            <v>2114</v>
          </cell>
          <cell r="O180">
            <v>1323.21252830189</v>
          </cell>
          <cell r="P180">
            <v>2710.8240003764699</v>
          </cell>
        </row>
        <row r="181">
          <cell r="B181" t="str">
            <v/>
          </cell>
        </row>
        <row r="182">
          <cell r="A182" t="str">
            <v>2005/06</v>
          </cell>
          <cell r="B182" t="str">
            <v>Q1</v>
          </cell>
          <cell r="D182">
            <v>2114</v>
          </cell>
          <cell r="E182">
            <v>11112</v>
          </cell>
          <cell r="F182">
            <v>2.11</v>
          </cell>
          <cell r="G182">
            <v>13228</v>
          </cell>
          <cell r="J182">
            <v>2230</v>
          </cell>
          <cell r="K182">
            <v>2936</v>
          </cell>
          <cell r="L182">
            <v>477</v>
          </cell>
          <cell r="M182">
            <v>3413</v>
          </cell>
          <cell r="N182">
            <v>9815</v>
          </cell>
          <cell r="O182">
            <v>364.312814814815</v>
          </cell>
          <cell r="P182">
            <v>706.06314452224501</v>
          </cell>
        </row>
        <row r="183">
          <cell r="A183" t="str">
            <v>2005/06</v>
          </cell>
          <cell r="B183" t="str">
            <v>Q2</v>
          </cell>
          <cell r="D183">
            <v>9815</v>
          </cell>
          <cell r="F183">
            <v>1.24</v>
          </cell>
          <cell r="G183">
            <v>9816</v>
          </cell>
          <cell r="J183">
            <v>1639</v>
          </cell>
          <cell r="K183">
            <v>2355</v>
          </cell>
          <cell r="L183">
            <v>474</v>
          </cell>
          <cell r="M183">
            <v>2829</v>
          </cell>
          <cell r="N183">
            <v>6987</v>
          </cell>
          <cell r="O183">
            <v>386.70666666666699</v>
          </cell>
          <cell r="P183">
            <v>715.593474034476</v>
          </cell>
        </row>
        <row r="184">
          <cell r="A184" t="str">
            <v>2005/06</v>
          </cell>
          <cell r="B184" t="str">
            <v>Q3</v>
          </cell>
          <cell r="D184">
            <v>6987</v>
          </cell>
          <cell r="F184">
            <v>4.1399999999999997</v>
          </cell>
          <cell r="G184">
            <v>6991</v>
          </cell>
          <cell r="J184">
            <v>1279</v>
          </cell>
          <cell r="K184">
            <v>2067</v>
          </cell>
          <cell r="L184">
            <v>562</v>
          </cell>
          <cell r="M184">
            <v>2630</v>
          </cell>
          <cell r="N184">
            <v>4362</v>
          </cell>
          <cell r="O184">
            <v>406.45518518518497</v>
          </cell>
          <cell r="P184">
            <v>787.89902838554804</v>
          </cell>
        </row>
        <row r="185">
          <cell r="A185" t="str">
            <v>2005/06</v>
          </cell>
          <cell r="B185" t="str">
            <v>Q4</v>
          </cell>
          <cell r="D185">
            <v>4362</v>
          </cell>
          <cell r="F185">
            <v>1.32</v>
          </cell>
          <cell r="G185">
            <v>4363</v>
          </cell>
          <cell r="J185">
            <v>963</v>
          </cell>
          <cell r="K185">
            <v>1776</v>
          </cell>
          <cell r="L185">
            <v>620</v>
          </cell>
          <cell r="M185">
            <v>2396</v>
          </cell>
          <cell r="N185">
            <v>1967</v>
          </cell>
          <cell r="O185">
            <v>445.849777777778</v>
          </cell>
          <cell r="P185">
            <v>813.12437631712203</v>
          </cell>
        </row>
        <row r="186">
          <cell r="A186" t="str">
            <v>2005/06</v>
          </cell>
          <cell r="B186" t="str">
            <v>MY</v>
          </cell>
          <cell r="D186">
            <v>2114</v>
          </cell>
          <cell r="E186">
            <v>11112</v>
          </cell>
          <cell r="F186">
            <v>8.81</v>
          </cell>
          <cell r="G186">
            <v>13235</v>
          </cell>
          <cell r="J186">
            <v>6111</v>
          </cell>
          <cell r="K186">
            <v>9134</v>
          </cell>
          <cell r="L186">
            <v>2134</v>
          </cell>
          <cell r="M186">
            <v>11268</v>
          </cell>
          <cell r="N186">
            <v>1967</v>
          </cell>
          <cell r="O186">
            <v>1603.3244444444399</v>
          </cell>
          <cell r="P186">
            <v>3022.6800232593801</v>
          </cell>
        </row>
        <row r="187">
          <cell r="B187" t="str">
            <v/>
          </cell>
        </row>
        <row r="188">
          <cell r="A188" t="str">
            <v>2006/07</v>
          </cell>
          <cell r="B188" t="str">
            <v>Q1</v>
          </cell>
          <cell r="D188">
            <v>1967</v>
          </cell>
          <cell r="E188">
            <v>10531</v>
          </cell>
          <cell r="F188">
            <v>1.1499999999999999</v>
          </cell>
          <cell r="G188">
            <v>12499</v>
          </cell>
          <cell r="J188">
            <v>2159</v>
          </cell>
          <cell r="K188">
            <v>2971</v>
          </cell>
          <cell r="L188">
            <v>596</v>
          </cell>
          <cell r="M188">
            <v>3567</v>
          </cell>
          <cell r="N188">
            <v>8933</v>
          </cell>
          <cell r="O188">
            <v>465.912592592593</v>
          </cell>
          <cell r="P188">
            <v>811.430458643306</v>
          </cell>
        </row>
        <row r="189">
          <cell r="A189" t="str">
            <v>2006/07</v>
          </cell>
          <cell r="B189" t="str">
            <v>Q2</v>
          </cell>
          <cell r="D189">
            <v>8933</v>
          </cell>
          <cell r="F189">
            <v>1.68</v>
          </cell>
          <cell r="G189">
            <v>8934</v>
          </cell>
          <cell r="J189">
            <v>1522</v>
          </cell>
          <cell r="K189">
            <v>2353</v>
          </cell>
          <cell r="L189">
            <v>513</v>
          </cell>
          <cell r="M189">
            <v>2866</v>
          </cell>
          <cell r="N189">
            <v>6068</v>
          </cell>
          <cell r="O189">
            <v>506.18592592592603</v>
          </cell>
          <cell r="P189">
            <v>831.39528595261504</v>
          </cell>
        </row>
        <row r="190">
          <cell r="A190" t="str">
            <v>2006/07</v>
          </cell>
          <cell r="B190" t="str">
            <v>Q3</v>
          </cell>
          <cell r="D190">
            <v>6068</v>
          </cell>
          <cell r="F190">
            <v>5.48</v>
          </cell>
          <cell r="G190">
            <v>6074</v>
          </cell>
          <cell r="J190">
            <v>1108</v>
          </cell>
          <cell r="K190">
            <v>2045</v>
          </cell>
          <cell r="L190">
            <v>495</v>
          </cell>
          <cell r="M190">
            <v>2540</v>
          </cell>
          <cell r="N190">
            <v>3533</v>
          </cell>
          <cell r="O190">
            <v>545.85259259259203</v>
          </cell>
          <cell r="P190">
            <v>936.64110646831898</v>
          </cell>
        </row>
        <row r="191">
          <cell r="A191" t="str">
            <v>2006/07</v>
          </cell>
          <cell r="B191" t="str">
            <v>Q4</v>
          </cell>
          <cell r="D191">
            <v>3533</v>
          </cell>
          <cell r="F191">
            <v>3.67</v>
          </cell>
          <cell r="G191">
            <v>3537</v>
          </cell>
          <cell r="J191">
            <v>746</v>
          </cell>
          <cell r="K191">
            <v>1712</v>
          </cell>
          <cell r="L191">
            <v>521</v>
          </cell>
          <cell r="M191">
            <v>2233</v>
          </cell>
          <cell r="N191">
            <v>1304</v>
          </cell>
          <cell r="O191">
            <v>601.54274074074101</v>
          </cell>
          <cell r="P191">
            <v>966.454965730754</v>
          </cell>
        </row>
        <row r="192">
          <cell r="A192" t="str">
            <v>2006/07</v>
          </cell>
          <cell r="B192" t="str">
            <v>MY</v>
          </cell>
          <cell r="D192">
            <v>1967</v>
          </cell>
          <cell r="E192">
            <v>10531</v>
          </cell>
          <cell r="F192">
            <v>11.98</v>
          </cell>
          <cell r="G192">
            <v>12510</v>
          </cell>
          <cell r="J192">
            <v>5535</v>
          </cell>
          <cell r="K192">
            <v>9081</v>
          </cell>
          <cell r="L192">
            <v>2125</v>
          </cell>
          <cell r="M192">
            <v>11207</v>
          </cell>
          <cell r="N192">
            <v>1304</v>
          </cell>
          <cell r="O192">
            <v>2119.4938518518502</v>
          </cell>
          <cell r="P192">
            <v>3545.9218167949898</v>
          </cell>
        </row>
        <row r="193">
          <cell r="B193" t="str">
            <v/>
          </cell>
        </row>
        <row r="194">
          <cell r="A194" t="str">
            <v>2007/08</v>
          </cell>
          <cell r="B194" t="str">
            <v>Q1</v>
          </cell>
          <cell r="D194">
            <v>1304</v>
          </cell>
          <cell r="E194">
            <v>13038</v>
          </cell>
          <cell r="F194">
            <v>2.1800000000000002</v>
          </cell>
          <cell r="G194">
            <v>14344</v>
          </cell>
          <cell r="J194">
            <v>2387</v>
          </cell>
          <cell r="K194">
            <v>3372</v>
          </cell>
          <cell r="L194">
            <v>693</v>
          </cell>
          <cell r="M194">
            <v>4066</v>
          </cell>
          <cell r="N194">
            <v>10278</v>
          </cell>
          <cell r="O194">
            <v>643.85370582010603</v>
          </cell>
          <cell r="P194">
            <v>985.70130814246204</v>
          </cell>
        </row>
        <row r="195">
          <cell r="A195" t="str">
            <v>2007/08</v>
          </cell>
          <cell r="B195" t="str">
            <v>Q2</v>
          </cell>
          <cell r="D195">
            <v>10278</v>
          </cell>
          <cell r="F195">
            <v>2.82</v>
          </cell>
          <cell r="G195">
            <v>10281</v>
          </cell>
          <cell r="J195">
            <v>1734</v>
          </cell>
          <cell r="K195">
            <v>2780</v>
          </cell>
          <cell r="L195">
            <v>642</v>
          </cell>
          <cell r="M195">
            <v>3422</v>
          </cell>
          <cell r="N195">
            <v>6859</v>
          </cell>
          <cell r="O195">
            <v>716.21916519694298</v>
          </cell>
          <cell r="P195">
            <v>1045.9623254328501</v>
          </cell>
        </row>
        <row r="196">
          <cell r="A196" t="str">
            <v>2007/08</v>
          </cell>
          <cell r="B196" t="str">
            <v>Q3</v>
          </cell>
          <cell r="D196">
            <v>6859</v>
          </cell>
          <cell r="F196">
            <v>9.7100000000000009</v>
          </cell>
          <cell r="G196">
            <v>6868</v>
          </cell>
          <cell r="J196">
            <v>1064</v>
          </cell>
          <cell r="K196">
            <v>2257</v>
          </cell>
          <cell r="L196">
            <v>583</v>
          </cell>
          <cell r="M196">
            <v>2840</v>
          </cell>
          <cell r="N196">
            <v>4028</v>
          </cell>
          <cell r="O196">
            <v>818.60914756025898</v>
          </cell>
          <cell r="P196">
            <v>1192.6373239956699</v>
          </cell>
        </row>
        <row r="197">
          <cell r="A197" t="str">
            <v>2007/08</v>
          </cell>
          <cell r="B197" t="str">
            <v>Q4</v>
          </cell>
          <cell r="D197">
            <v>4028</v>
          </cell>
          <cell r="F197">
            <v>5.31</v>
          </cell>
          <cell r="G197">
            <v>4033</v>
          </cell>
          <cell r="J197">
            <v>668</v>
          </cell>
          <cell r="K197">
            <v>1890</v>
          </cell>
          <cell r="L197">
            <v>519</v>
          </cell>
          <cell r="M197">
            <v>2409</v>
          </cell>
          <cell r="N197">
            <v>1624</v>
          </cell>
          <cell r="O197">
            <v>870.53205549676704</v>
          </cell>
          <cell r="P197">
            <v>1222.6607573404101</v>
          </cell>
        </row>
        <row r="198">
          <cell r="A198" t="str">
            <v>2007/08</v>
          </cell>
          <cell r="B198" t="str">
            <v>MY</v>
          </cell>
          <cell r="D198">
            <v>1304</v>
          </cell>
          <cell r="E198">
            <v>13038</v>
          </cell>
          <cell r="F198">
            <v>20.02</v>
          </cell>
          <cell r="G198">
            <v>14362</v>
          </cell>
          <cell r="J198">
            <v>5853</v>
          </cell>
          <cell r="K198">
            <v>10300</v>
          </cell>
          <cell r="L198">
            <v>2437</v>
          </cell>
          <cell r="M198">
            <v>12737</v>
          </cell>
          <cell r="N198">
            <v>1624</v>
          </cell>
          <cell r="O198">
            <v>3049.2140740740701</v>
          </cell>
          <cell r="P198">
            <v>4446.9617149113801</v>
          </cell>
        </row>
        <row r="199">
          <cell r="B199" t="str">
            <v/>
          </cell>
        </row>
        <row r="200">
          <cell r="A200" t="str">
            <v>2008/09</v>
          </cell>
          <cell r="B200" t="str">
            <v>Q1</v>
          </cell>
          <cell r="D200">
            <v>1624</v>
          </cell>
          <cell r="E200">
            <v>12043</v>
          </cell>
          <cell r="F200">
            <v>2.82</v>
          </cell>
          <cell r="G200">
            <v>13670</v>
          </cell>
          <cell r="J200">
            <v>1930</v>
          </cell>
          <cell r="K200">
            <v>3149</v>
          </cell>
          <cell r="L200">
            <v>449</v>
          </cell>
          <cell r="M200">
            <v>3598</v>
          </cell>
          <cell r="N200">
            <v>10072</v>
          </cell>
          <cell r="O200">
            <v>895.40719999999999</v>
          </cell>
          <cell r="P200">
            <v>1219.2445283304301</v>
          </cell>
        </row>
        <row r="201">
          <cell r="A201" t="str">
            <v>2008/09</v>
          </cell>
          <cell r="B201" t="str">
            <v>Q2</v>
          </cell>
          <cell r="D201">
            <v>10072</v>
          </cell>
          <cell r="F201">
            <v>4.1100000000000003</v>
          </cell>
          <cell r="G201">
            <v>10076</v>
          </cell>
          <cell r="J201">
            <v>1573</v>
          </cell>
          <cell r="K201">
            <v>2751</v>
          </cell>
          <cell r="L201">
            <v>371</v>
          </cell>
          <cell r="M201">
            <v>3122</v>
          </cell>
          <cell r="N201">
            <v>6954</v>
          </cell>
          <cell r="O201">
            <v>874.14606000000003</v>
          </cell>
          <cell r="P201">
            <v>1178.2439793779299</v>
          </cell>
        </row>
        <row r="202">
          <cell r="A202" t="str">
            <v>2008/09</v>
          </cell>
          <cell r="B202" t="str">
            <v>Q3</v>
          </cell>
          <cell r="D202">
            <v>6954</v>
          </cell>
          <cell r="F202">
            <v>5.12</v>
          </cell>
          <cell r="G202">
            <v>6959</v>
          </cell>
          <cell r="J202">
            <v>942</v>
          </cell>
          <cell r="K202">
            <v>2205</v>
          </cell>
          <cell r="L202">
            <v>493</v>
          </cell>
          <cell r="M202">
            <v>2698</v>
          </cell>
          <cell r="N202">
            <v>4261</v>
          </cell>
          <cell r="O202">
            <v>910.37657000000002</v>
          </cell>
          <cell r="P202">
            <v>1262.91701893306</v>
          </cell>
        </row>
        <row r="203">
          <cell r="A203" t="str">
            <v>2008/09</v>
          </cell>
          <cell r="B203" t="str">
            <v>Q4</v>
          </cell>
          <cell r="D203">
            <v>4261</v>
          </cell>
          <cell r="F203">
            <v>1.49</v>
          </cell>
          <cell r="G203">
            <v>4263</v>
          </cell>
          <cell r="J203">
            <v>683</v>
          </cell>
          <cell r="K203">
            <v>2053</v>
          </cell>
          <cell r="L203">
            <v>536</v>
          </cell>
          <cell r="M203">
            <v>2590</v>
          </cell>
          <cell r="N203">
            <v>1673</v>
          </cell>
          <cell r="O203">
            <v>1028.95921</v>
          </cell>
          <cell r="P203">
            <v>1370.0935133585799</v>
          </cell>
        </row>
        <row r="204">
          <cell r="A204" t="str">
            <v>2008/09</v>
          </cell>
          <cell r="B204" t="str">
            <v>MY</v>
          </cell>
          <cell r="D204">
            <v>1624</v>
          </cell>
          <cell r="E204">
            <v>12043</v>
          </cell>
          <cell r="F204">
            <v>13.53</v>
          </cell>
          <cell r="G204">
            <v>13681</v>
          </cell>
          <cell r="J204">
            <v>5128</v>
          </cell>
          <cell r="K204">
            <v>10159</v>
          </cell>
          <cell r="L204">
            <v>1849</v>
          </cell>
          <cell r="M204">
            <v>12008</v>
          </cell>
          <cell r="N204">
            <v>1673</v>
          </cell>
          <cell r="O204">
            <v>3708.88904</v>
          </cell>
          <cell r="P204">
            <v>5030.4980400000004</v>
          </cell>
        </row>
        <row r="205">
          <cell r="B205" t="str">
            <v/>
          </cell>
        </row>
        <row r="206">
          <cell r="A206" t="str">
            <v>2009/10</v>
          </cell>
          <cell r="B206" t="str">
            <v>Q1</v>
          </cell>
          <cell r="D206">
            <v>1673</v>
          </cell>
          <cell r="E206">
            <v>13067</v>
          </cell>
          <cell r="F206">
            <v>0.98</v>
          </cell>
          <cell r="G206">
            <v>14741</v>
          </cell>
          <cell r="J206">
            <v>1990</v>
          </cell>
          <cell r="K206">
            <v>3372</v>
          </cell>
          <cell r="L206">
            <v>467</v>
          </cell>
          <cell r="M206">
            <v>3839</v>
          </cell>
          <cell r="N206">
            <v>10902</v>
          </cell>
          <cell r="O206">
            <v>1060.51</v>
          </cell>
          <cell r="P206">
            <v>1382.029</v>
          </cell>
        </row>
        <row r="207">
          <cell r="A207" t="str">
            <v>2009/10</v>
          </cell>
          <cell r="B207" t="str">
            <v>Q2</v>
          </cell>
          <cell r="D207">
            <v>10902</v>
          </cell>
          <cell r="F207">
            <v>1.32</v>
          </cell>
          <cell r="G207">
            <v>10904</v>
          </cell>
          <cell r="J207">
            <v>1341</v>
          </cell>
          <cell r="K207">
            <v>2788</v>
          </cell>
          <cell r="L207">
            <v>422</v>
          </cell>
          <cell r="M207">
            <v>3210</v>
          </cell>
          <cell r="N207">
            <v>7694</v>
          </cell>
          <cell r="O207">
            <v>1134.4639999999999</v>
          </cell>
          <cell r="P207">
            <v>1447.24</v>
          </cell>
        </row>
        <row r="208">
          <cell r="A208" t="str">
            <v>2009/10</v>
          </cell>
          <cell r="B208" t="str">
            <v>Q3</v>
          </cell>
          <cell r="D208">
            <v>7694</v>
          </cell>
          <cell r="F208">
            <v>3.13</v>
          </cell>
          <cell r="G208">
            <v>7697</v>
          </cell>
          <cell r="J208">
            <v>1268</v>
          </cell>
          <cell r="K208">
            <v>2838</v>
          </cell>
          <cell r="L208">
            <v>549</v>
          </cell>
          <cell r="M208">
            <v>3387</v>
          </cell>
          <cell r="N208">
            <v>4310</v>
          </cell>
          <cell r="O208">
            <v>1189.335</v>
          </cell>
          <cell r="P208">
            <v>1570.067</v>
          </cell>
        </row>
        <row r="209">
          <cell r="A209" t="str">
            <v>2009/10</v>
          </cell>
          <cell r="B209" t="str">
            <v>Q4</v>
          </cell>
          <cell r="D209">
            <v>4310</v>
          </cell>
          <cell r="F209">
            <v>2.91</v>
          </cell>
          <cell r="G209">
            <v>4313</v>
          </cell>
          <cell r="J209">
            <v>496</v>
          </cell>
          <cell r="K209">
            <v>2063</v>
          </cell>
          <cell r="L209">
            <v>542</v>
          </cell>
          <cell r="M209">
            <v>2605</v>
          </cell>
          <cell r="N209">
            <v>1708</v>
          </cell>
          <cell r="O209">
            <v>1206.848</v>
          </cell>
          <cell r="P209">
            <v>1567.085</v>
          </cell>
        </row>
        <row r="210">
          <cell r="A210" t="str">
            <v>2009/10</v>
          </cell>
          <cell r="B210" t="str">
            <v>MY</v>
          </cell>
          <cell r="D210">
            <v>1673</v>
          </cell>
          <cell r="E210">
            <v>13067</v>
          </cell>
          <cell r="F210">
            <v>8.34</v>
          </cell>
          <cell r="G210">
            <v>14749</v>
          </cell>
          <cell r="J210">
            <v>5096</v>
          </cell>
          <cell r="K210">
            <v>11062</v>
          </cell>
          <cell r="L210">
            <v>1979</v>
          </cell>
          <cell r="M210">
            <v>13041</v>
          </cell>
          <cell r="N210">
            <v>1708</v>
          </cell>
          <cell r="O210">
            <v>4591.1570000000002</v>
          </cell>
          <cell r="P210">
            <v>5966.4210000000003</v>
          </cell>
        </row>
        <row r="211">
          <cell r="B211" t="str">
            <v/>
          </cell>
        </row>
        <row r="212">
          <cell r="A212" t="str">
            <v>2010/11</v>
          </cell>
          <cell r="B212" t="str">
            <v>Q1</v>
          </cell>
          <cell r="D212">
            <v>1708</v>
          </cell>
          <cell r="E212">
            <v>12425</v>
          </cell>
          <cell r="F212">
            <v>5.32</v>
          </cell>
          <cell r="G212">
            <v>14138</v>
          </cell>
          <cell r="J212">
            <v>2047</v>
          </cell>
          <cell r="K212">
            <v>3630</v>
          </cell>
          <cell r="L212">
            <v>452</v>
          </cell>
          <cell r="M212">
            <v>4082</v>
          </cell>
          <cell r="N212">
            <v>10057</v>
          </cell>
          <cell r="O212">
            <v>1242.6579999999999</v>
          </cell>
          <cell r="P212">
            <v>1582.4380000000001</v>
          </cell>
        </row>
        <row r="213">
          <cell r="A213" t="str">
            <v>2010/11</v>
          </cell>
          <cell r="B213" t="str">
            <v>Q2</v>
          </cell>
          <cell r="D213">
            <v>10057</v>
          </cell>
          <cell r="F213">
            <v>8.4600000000000009</v>
          </cell>
          <cell r="G213">
            <v>10065</v>
          </cell>
          <cell r="J213">
            <v>1562</v>
          </cell>
          <cell r="K213">
            <v>3139</v>
          </cell>
          <cell r="L213">
            <v>403</v>
          </cell>
          <cell r="M213">
            <v>3542</v>
          </cell>
          <cell r="N213">
            <v>6523</v>
          </cell>
          <cell r="O213">
            <v>1254.8720000000001</v>
          </cell>
          <cell r="P213">
            <v>1576.7080000000001</v>
          </cell>
        </row>
        <row r="214">
          <cell r="A214" t="str">
            <v>2010/11</v>
          </cell>
          <cell r="B214" t="str">
            <v>Q3</v>
          </cell>
          <cell r="D214">
            <v>6523</v>
          </cell>
          <cell r="F214">
            <v>10.38</v>
          </cell>
          <cell r="G214">
            <v>6534</v>
          </cell>
          <cell r="J214">
            <v>709</v>
          </cell>
          <cell r="K214">
            <v>2353</v>
          </cell>
          <cell r="L214">
            <v>510</v>
          </cell>
          <cell r="M214">
            <v>2863</v>
          </cell>
          <cell r="N214">
            <v>3670</v>
          </cell>
          <cell r="O214">
            <v>1257.7940000000001</v>
          </cell>
          <cell r="P214">
            <v>1644.0160000000001</v>
          </cell>
        </row>
        <row r="215">
          <cell r="A215" t="str">
            <v>2010/11</v>
          </cell>
          <cell r="B215" t="str">
            <v>Q4</v>
          </cell>
          <cell r="D215">
            <v>3670</v>
          </cell>
          <cell r="F215">
            <v>3.5</v>
          </cell>
          <cell r="G215">
            <v>3674</v>
          </cell>
          <cell r="J215">
            <v>451</v>
          </cell>
          <cell r="K215">
            <v>2080</v>
          </cell>
          <cell r="L215">
            <v>466</v>
          </cell>
          <cell r="M215">
            <v>2546</v>
          </cell>
          <cell r="N215">
            <v>1128</v>
          </cell>
          <cell r="O215">
            <v>1263.4169999999999</v>
          </cell>
          <cell r="P215">
            <v>1628.9359999999999</v>
          </cell>
        </row>
        <row r="216">
          <cell r="A216" t="str">
            <v>2010/11</v>
          </cell>
          <cell r="B216" t="str">
            <v>MY</v>
          </cell>
          <cell r="D216">
            <v>1708</v>
          </cell>
          <cell r="E216">
            <v>12425</v>
          </cell>
          <cell r="F216">
            <v>27.67</v>
          </cell>
          <cell r="G216">
            <v>14161</v>
          </cell>
          <cell r="J216">
            <v>4770</v>
          </cell>
          <cell r="K216">
            <v>11202</v>
          </cell>
          <cell r="L216">
            <v>1831</v>
          </cell>
          <cell r="M216">
            <v>13033</v>
          </cell>
          <cell r="N216">
            <v>1128</v>
          </cell>
          <cell r="O216">
            <v>5018.741</v>
          </cell>
          <cell r="P216">
            <v>6432.098</v>
          </cell>
        </row>
        <row r="217">
          <cell r="B217" t="str">
            <v/>
          </cell>
        </row>
        <row r="218">
          <cell r="A218" t="str">
            <v>2011/12</v>
          </cell>
          <cell r="B218" t="str">
            <v>Q1</v>
          </cell>
          <cell r="D218">
            <v>1128</v>
          </cell>
          <cell r="E218">
            <v>12314</v>
          </cell>
          <cell r="F218">
            <v>4.0599999999999996</v>
          </cell>
          <cell r="G218">
            <v>13446</v>
          </cell>
          <cell r="J218">
            <v>1782</v>
          </cell>
          <cell r="K218">
            <v>3393</v>
          </cell>
          <cell r="L218">
            <v>406</v>
          </cell>
          <cell r="M218">
            <v>3799</v>
          </cell>
          <cell r="N218">
            <v>9647</v>
          </cell>
          <cell r="O218">
            <v>1265.7280000000001</v>
          </cell>
          <cell r="P218">
            <v>1610.771</v>
          </cell>
        </row>
        <row r="219">
          <cell r="A219" t="str">
            <v>2011/12</v>
          </cell>
          <cell r="B219" t="str">
            <v>Q2</v>
          </cell>
          <cell r="D219">
            <v>9647</v>
          </cell>
          <cell r="F219">
            <v>3.93</v>
          </cell>
          <cell r="G219">
            <v>9651</v>
          </cell>
          <cell r="J219">
            <v>1546</v>
          </cell>
          <cell r="K219">
            <v>3183</v>
          </cell>
          <cell r="L219">
            <v>444</v>
          </cell>
          <cell r="M219">
            <v>3627</v>
          </cell>
          <cell r="N219">
            <v>6023</v>
          </cell>
          <cell r="O219">
            <v>1303.8440000000001</v>
          </cell>
          <cell r="P219">
            <v>1637.0709999999999</v>
          </cell>
        </row>
        <row r="220">
          <cell r="A220" t="str">
            <v>2011/12</v>
          </cell>
          <cell r="B220" t="str">
            <v>Q3</v>
          </cell>
          <cell r="D220">
            <v>6023</v>
          </cell>
          <cell r="F220">
            <v>10.67</v>
          </cell>
          <cell r="G220">
            <v>6034</v>
          </cell>
          <cell r="J220">
            <v>857</v>
          </cell>
          <cell r="K220">
            <v>2488</v>
          </cell>
          <cell r="L220">
            <v>398</v>
          </cell>
          <cell r="M220">
            <v>2886</v>
          </cell>
          <cell r="N220">
            <v>3148</v>
          </cell>
          <cell r="O220">
            <v>1243.296</v>
          </cell>
          <cell r="P220">
            <v>1630.4929999999999</v>
          </cell>
        </row>
        <row r="221">
          <cell r="A221" t="str">
            <v>2011/12</v>
          </cell>
          <cell r="B221" t="str">
            <v>Q4</v>
          </cell>
          <cell r="D221">
            <v>3148</v>
          </cell>
          <cell r="F221">
            <v>10.71</v>
          </cell>
          <cell r="G221">
            <v>3159</v>
          </cell>
          <cell r="J221">
            <v>327</v>
          </cell>
          <cell r="K221">
            <v>1879</v>
          </cell>
          <cell r="L221">
            <v>291</v>
          </cell>
          <cell r="M221">
            <v>2170</v>
          </cell>
          <cell r="N221">
            <v>989</v>
          </cell>
          <cell r="O221">
            <v>1187.164</v>
          </cell>
          <cell r="P221">
            <v>1552.386</v>
          </cell>
        </row>
        <row r="222">
          <cell r="A222" t="str">
            <v>2011/12</v>
          </cell>
          <cell r="B222" t="str">
            <v>MY</v>
          </cell>
          <cell r="D222">
            <v>1128</v>
          </cell>
          <cell r="E222">
            <v>12314</v>
          </cell>
          <cell r="F222">
            <v>29.37</v>
          </cell>
          <cell r="G222">
            <v>13471</v>
          </cell>
          <cell r="J222">
            <v>4512</v>
          </cell>
          <cell r="K222">
            <v>10943</v>
          </cell>
          <cell r="L222">
            <v>1539</v>
          </cell>
          <cell r="M222">
            <v>12482</v>
          </cell>
          <cell r="N222">
            <v>989</v>
          </cell>
          <cell r="O222">
            <v>5000.0320000000002</v>
          </cell>
          <cell r="P222">
            <v>6430.7209999999995</v>
          </cell>
        </row>
        <row r="223">
          <cell r="B223" t="str">
            <v/>
          </cell>
        </row>
        <row r="224">
          <cell r="A224" t="str">
            <v>2012/13</v>
          </cell>
          <cell r="B224" t="str">
            <v>Q1</v>
          </cell>
          <cell r="D224">
            <v>989</v>
          </cell>
          <cell r="E224">
            <v>10755</v>
          </cell>
          <cell r="F224">
            <v>34.79</v>
          </cell>
          <cell r="G224">
            <v>11779</v>
          </cell>
          <cell r="J224">
            <v>2060</v>
          </cell>
          <cell r="K224">
            <v>3525</v>
          </cell>
          <cell r="L224">
            <v>221</v>
          </cell>
          <cell r="M224">
            <v>3746</v>
          </cell>
          <cell r="N224">
            <v>8033</v>
          </cell>
          <cell r="O224">
            <v>1124.3800000000001</v>
          </cell>
          <cell r="P224">
            <v>1465.6210000000001</v>
          </cell>
        </row>
        <row r="225">
          <cell r="A225" t="str">
            <v>2012/13</v>
          </cell>
          <cell r="B225" t="str">
            <v>Q2</v>
          </cell>
          <cell r="D225">
            <v>8033</v>
          </cell>
          <cell r="F225">
            <v>45.43</v>
          </cell>
          <cell r="G225">
            <v>8078</v>
          </cell>
          <cell r="J225">
            <v>1087</v>
          </cell>
          <cell r="K225">
            <v>2517</v>
          </cell>
          <cell r="L225">
            <v>161</v>
          </cell>
          <cell r="M225">
            <v>2678</v>
          </cell>
          <cell r="N225">
            <v>5400</v>
          </cell>
          <cell r="O225">
            <v>1105.0630000000001</v>
          </cell>
          <cell r="P225">
            <v>1429.8630000000001</v>
          </cell>
        </row>
        <row r="226">
          <cell r="A226" t="str">
            <v>2012/13</v>
          </cell>
          <cell r="B226" t="str">
            <v>Q3</v>
          </cell>
          <cell r="D226">
            <v>5400</v>
          </cell>
          <cell r="F226">
            <v>40.18</v>
          </cell>
          <cell r="G226">
            <v>5440</v>
          </cell>
          <cell r="J226">
            <v>915</v>
          </cell>
          <cell r="K226">
            <v>2488</v>
          </cell>
          <cell r="L226">
            <v>186</v>
          </cell>
          <cell r="M226">
            <v>2674</v>
          </cell>
          <cell r="N226">
            <v>2766</v>
          </cell>
          <cell r="O226">
            <v>1191.162</v>
          </cell>
          <cell r="P226">
            <v>1573.424</v>
          </cell>
        </row>
        <row r="227">
          <cell r="A227" t="str">
            <v>2012/13</v>
          </cell>
          <cell r="B227" t="str">
            <v>Q4</v>
          </cell>
          <cell r="D227">
            <v>2766</v>
          </cell>
          <cell r="F227">
            <v>39.56</v>
          </cell>
          <cell r="G227">
            <v>2806</v>
          </cell>
          <cell r="J227">
            <v>247</v>
          </cell>
          <cell r="K227">
            <v>1822</v>
          </cell>
          <cell r="L227">
            <v>162</v>
          </cell>
          <cell r="M227">
            <v>1985</v>
          </cell>
          <cell r="N227">
            <v>821</v>
          </cell>
          <cell r="O227">
            <v>1220.5219999999999</v>
          </cell>
          <cell r="P227">
            <v>1575.3979999999999</v>
          </cell>
        </row>
        <row r="228">
          <cell r="A228" t="str">
            <v>2012/13</v>
          </cell>
          <cell r="B228" t="str">
            <v>MY</v>
          </cell>
          <cell r="D228">
            <v>989</v>
          </cell>
          <cell r="E228">
            <v>10755</v>
          </cell>
          <cell r="F228">
            <v>159.94999999999999</v>
          </cell>
          <cell r="G228">
            <v>11904</v>
          </cell>
          <cell r="J228">
            <v>4309</v>
          </cell>
          <cell r="K228">
            <v>10353</v>
          </cell>
          <cell r="L228">
            <v>730</v>
          </cell>
          <cell r="M228">
            <v>11083</v>
          </cell>
          <cell r="N228">
            <v>821</v>
          </cell>
          <cell r="O228">
            <v>4641.1270000000004</v>
          </cell>
          <cell r="P228">
            <v>6044.3059999999996</v>
          </cell>
        </row>
        <row r="229">
          <cell r="B229" t="str">
            <v/>
          </cell>
        </row>
        <row r="230">
          <cell r="A230" t="str">
            <v>2013/14</v>
          </cell>
          <cell r="B230" t="str">
            <v>Q1</v>
          </cell>
          <cell r="D230">
            <v>821</v>
          </cell>
          <cell r="E230">
            <v>13831</v>
          </cell>
          <cell r="F230">
            <v>14.53</v>
          </cell>
          <cell r="G230">
            <v>14666</v>
          </cell>
          <cell r="J230">
            <v>2314</v>
          </cell>
          <cell r="K230">
            <v>3864</v>
          </cell>
          <cell r="L230">
            <v>350</v>
          </cell>
          <cell r="M230">
            <v>4214</v>
          </cell>
          <cell r="N230">
            <v>10453</v>
          </cell>
          <cell r="O230">
            <v>1215.751</v>
          </cell>
          <cell r="P230">
            <v>1550.106</v>
          </cell>
        </row>
        <row r="231">
          <cell r="A231" t="str">
            <v>2013/14</v>
          </cell>
          <cell r="B231" t="str">
            <v>Q2</v>
          </cell>
          <cell r="D231">
            <v>10453</v>
          </cell>
          <cell r="F231">
            <v>6.57</v>
          </cell>
          <cell r="G231">
            <v>10459</v>
          </cell>
          <cell r="J231">
            <v>1458</v>
          </cell>
          <cell r="K231">
            <v>3060</v>
          </cell>
          <cell r="L231">
            <v>390</v>
          </cell>
          <cell r="M231">
            <v>3450</v>
          </cell>
          <cell r="N231">
            <v>7009</v>
          </cell>
          <cell r="O231">
            <v>1271.144</v>
          </cell>
          <cell r="P231">
            <v>1602.3030000000001</v>
          </cell>
        </row>
        <row r="232">
          <cell r="A232" t="str">
            <v>2013/14</v>
          </cell>
          <cell r="B232" t="str">
            <v>Q3</v>
          </cell>
          <cell r="D232">
            <v>7009</v>
          </cell>
          <cell r="F232">
            <v>8.58</v>
          </cell>
          <cell r="G232">
            <v>7018</v>
          </cell>
          <cell r="J232">
            <v>847</v>
          </cell>
          <cell r="K232">
            <v>2530</v>
          </cell>
          <cell r="L232">
            <v>636</v>
          </cell>
          <cell r="M232">
            <v>3166</v>
          </cell>
          <cell r="N232">
            <v>3852</v>
          </cell>
          <cell r="O232">
            <v>1298.856</v>
          </cell>
          <cell r="P232">
            <v>1682.723</v>
          </cell>
        </row>
        <row r="233">
          <cell r="A233" t="str">
            <v>2013/14</v>
          </cell>
          <cell r="B233" t="str">
            <v>Q4</v>
          </cell>
          <cell r="D233">
            <v>3852</v>
          </cell>
          <cell r="F233">
            <v>6.12</v>
          </cell>
          <cell r="G233">
            <v>3858</v>
          </cell>
          <cell r="J233">
            <v>386</v>
          </cell>
          <cell r="K233">
            <v>2081</v>
          </cell>
          <cell r="L233">
            <v>544</v>
          </cell>
          <cell r="M233">
            <v>2626</v>
          </cell>
          <cell r="N233">
            <v>1232</v>
          </cell>
          <cell r="O233">
            <v>1337.9390000000001</v>
          </cell>
          <cell r="P233">
            <v>1695.6869999999999</v>
          </cell>
        </row>
        <row r="234">
          <cell r="A234" t="str">
            <v>2013/14</v>
          </cell>
          <cell r="B234" t="str">
            <v>MY</v>
          </cell>
          <cell r="D234">
            <v>821</v>
          </cell>
          <cell r="E234">
            <v>13831</v>
          </cell>
          <cell r="F234">
            <v>35.79</v>
          </cell>
          <cell r="G234">
            <v>14688</v>
          </cell>
          <cell r="J234">
            <v>5004</v>
          </cell>
          <cell r="K234">
            <v>11535</v>
          </cell>
          <cell r="L234">
            <v>1921</v>
          </cell>
          <cell r="M234">
            <v>13456</v>
          </cell>
          <cell r="N234">
            <v>1232</v>
          </cell>
          <cell r="O234">
            <v>5123.6899999999996</v>
          </cell>
          <cell r="P234">
            <v>6530.8190000000004</v>
          </cell>
        </row>
        <row r="235">
          <cell r="B235" t="str">
            <v/>
          </cell>
        </row>
        <row r="236">
          <cell r="A236" t="str">
            <v>2014/15</v>
          </cell>
          <cell r="B236" t="str">
            <v>Q1</v>
          </cell>
          <cell r="D236">
            <v>1232</v>
          </cell>
          <cell r="E236">
            <v>14217</v>
          </cell>
          <cell r="F236">
            <v>5</v>
          </cell>
          <cell r="G236">
            <v>15454</v>
          </cell>
          <cell r="J236">
            <v>2227</v>
          </cell>
          <cell r="K236">
            <v>3842</v>
          </cell>
          <cell r="L236">
            <v>401</v>
          </cell>
          <cell r="M236">
            <v>4243</v>
          </cell>
          <cell r="N236">
            <v>11211</v>
          </cell>
          <cell r="O236">
            <v>1276.24</v>
          </cell>
          <cell r="P236">
            <v>1614.701</v>
          </cell>
        </row>
        <row r="237">
          <cell r="A237" t="str">
            <v>2014/15</v>
          </cell>
          <cell r="B237" t="str">
            <v>Q2</v>
          </cell>
          <cell r="D237">
            <v>11211</v>
          </cell>
          <cell r="F237">
            <v>5.93</v>
          </cell>
          <cell r="G237">
            <v>11217</v>
          </cell>
          <cell r="J237">
            <v>1446</v>
          </cell>
          <cell r="K237">
            <v>3067</v>
          </cell>
          <cell r="L237">
            <v>400</v>
          </cell>
          <cell r="M237">
            <v>3468</v>
          </cell>
          <cell r="N237">
            <v>7750</v>
          </cell>
          <cell r="O237">
            <v>1293.9290000000001</v>
          </cell>
          <cell r="P237">
            <v>1621.4269999999999</v>
          </cell>
        </row>
        <row r="238">
          <cell r="A238" t="str">
            <v>2014/15</v>
          </cell>
          <cell r="B238" t="str">
            <v>Q3</v>
          </cell>
          <cell r="D238">
            <v>7750</v>
          </cell>
          <cell r="F238">
            <v>9.9600000000000009</v>
          </cell>
          <cell r="G238">
            <v>7760</v>
          </cell>
          <cell r="J238">
            <v>1094</v>
          </cell>
          <cell r="K238">
            <v>2767</v>
          </cell>
          <cell r="L238">
            <v>540</v>
          </cell>
          <cell r="M238">
            <v>3307</v>
          </cell>
          <cell r="N238">
            <v>4453</v>
          </cell>
          <cell r="O238">
            <v>1294.5309999999999</v>
          </cell>
          <cell r="P238">
            <v>1672.703</v>
          </cell>
        </row>
        <row r="239">
          <cell r="A239" t="str">
            <v>2014/15</v>
          </cell>
          <cell r="B239" t="str">
            <v>Q4</v>
          </cell>
          <cell r="D239">
            <v>4453</v>
          </cell>
          <cell r="F239">
            <v>10.75</v>
          </cell>
          <cell r="G239">
            <v>4464</v>
          </cell>
          <cell r="J239">
            <v>520</v>
          </cell>
          <cell r="K239">
            <v>2207</v>
          </cell>
          <cell r="L239">
            <v>526</v>
          </cell>
          <cell r="M239">
            <v>2733</v>
          </cell>
          <cell r="N239">
            <v>1731</v>
          </cell>
          <cell r="O239">
            <v>1335.39</v>
          </cell>
          <cell r="P239">
            <v>1686.5250000000001</v>
          </cell>
        </row>
        <row r="240">
          <cell r="A240" t="str">
            <v>2014/15</v>
          </cell>
          <cell r="B240" t="str">
            <v>MY</v>
          </cell>
          <cell r="D240">
            <v>1232</v>
          </cell>
          <cell r="E240">
            <v>14217</v>
          </cell>
          <cell r="F240">
            <v>31.65</v>
          </cell>
          <cell r="G240">
            <v>15481</v>
          </cell>
          <cell r="J240">
            <v>5287</v>
          </cell>
          <cell r="K240">
            <v>11883</v>
          </cell>
          <cell r="L240">
            <v>1867</v>
          </cell>
          <cell r="M240">
            <v>13750</v>
          </cell>
          <cell r="N240">
            <v>1731</v>
          </cell>
          <cell r="O240">
            <v>5200.09</v>
          </cell>
          <cell r="P240">
            <v>6595.3559999999998</v>
          </cell>
        </row>
        <row r="241">
          <cell r="B241" t="str">
            <v/>
          </cell>
        </row>
        <row r="242">
          <cell r="A242" t="str">
            <v>2015/16</v>
          </cell>
          <cell r="B242" t="str">
            <v>Q1</v>
          </cell>
          <cell r="D242">
            <v>1731</v>
          </cell>
          <cell r="E242">
            <v>13602</v>
          </cell>
          <cell r="F242">
            <v>12.89</v>
          </cell>
          <cell r="G242">
            <v>15346</v>
          </cell>
          <cell r="J242">
            <v>2178</v>
          </cell>
          <cell r="K242">
            <v>3810</v>
          </cell>
          <cell r="L242">
            <v>301</v>
          </cell>
          <cell r="M242">
            <v>4111</v>
          </cell>
          <cell r="N242">
            <v>11235</v>
          </cell>
          <cell r="O242">
            <v>1300.202</v>
          </cell>
          <cell r="P242">
            <v>1631.15</v>
          </cell>
        </row>
        <row r="243">
          <cell r="A243" t="str">
            <v>2015/16</v>
          </cell>
          <cell r="B243" t="str">
            <v>Q2</v>
          </cell>
          <cell r="D243">
            <v>11235</v>
          </cell>
          <cell r="F243">
            <v>17.7</v>
          </cell>
          <cell r="G243">
            <v>11253</v>
          </cell>
          <cell r="J243">
            <v>1438</v>
          </cell>
          <cell r="K243">
            <v>3089</v>
          </cell>
          <cell r="L243">
            <v>341</v>
          </cell>
          <cell r="M243">
            <v>3431</v>
          </cell>
          <cell r="N243">
            <v>7822</v>
          </cell>
          <cell r="O243">
            <v>1316.279</v>
          </cell>
          <cell r="P243">
            <v>1651.5730000000001</v>
          </cell>
        </row>
        <row r="244">
          <cell r="A244" t="str">
            <v>2015/16</v>
          </cell>
          <cell r="B244" t="str">
            <v>Q3</v>
          </cell>
          <cell r="D244">
            <v>7822</v>
          </cell>
          <cell r="F244">
            <v>20.63</v>
          </cell>
          <cell r="G244">
            <v>7843</v>
          </cell>
          <cell r="J244">
            <v>914</v>
          </cell>
          <cell r="K244">
            <v>2569</v>
          </cell>
          <cell r="L244">
            <v>563</v>
          </cell>
          <cell r="M244">
            <v>3132</v>
          </cell>
          <cell r="N244">
            <v>4711</v>
          </cell>
          <cell r="O244">
            <v>1264.796</v>
          </cell>
          <cell r="P244">
            <v>1654.9269999999999</v>
          </cell>
        </row>
        <row r="245">
          <cell r="A245" t="str">
            <v>2015/16</v>
          </cell>
          <cell r="B245" t="str">
            <v>Q4</v>
          </cell>
          <cell r="D245">
            <v>4711</v>
          </cell>
          <cell r="F245">
            <v>16.350000000000001</v>
          </cell>
          <cell r="G245">
            <v>4727</v>
          </cell>
          <cell r="J245">
            <v>587</v>
          </cell>
          <cell r="K245">
            <v>2297</v>
          </cell>
          <cell r="L245">
            <v>694</v>
          </cell>
          <cell r="M245">
            <v>2990</v>
          </cell>
          <cell r="N245">
            <v>1737</v>
          </cell>
          <cell r="O245">
            <v>1342.337</v>
          </cell>
          <cell r="P245">
            <v>1709.4970000000001</v>
          </cell>
        </row>
        <row r="246">
          <cell r="A246" t="str">
            <v>2015/16</v>
          </cell>
          <cell r="B246" t="str">
            <v>MY</v>
          </cell>
          <cell r="D246">
            <v>1731</v>
          </cell>
          <cell r="E246">
            <v>13602</v>
          </cell>
          <cell r="F246">
            <v>67.569999999999993</v>
          </cell>
          <cell r="G246">
            <v>15401</v>
          </cell>
          <cell r="J246">
            <v>5118</v>
          </cell>
          <cell r="K246">
            <v>11765</v>
          </cell>
          <cell r="L246">
            <v>1899</v>
          </cell>
          <cell r="M246">
            <v>13664</v>
          </cell>
          <cell r="N246">
            <v>1737</v>
          </cell>
          <cell r="O246">
            <v>5223.6139999999996</v>
          </cell>
          <cell r="P246">
            <v>6647.1469999999999</v>
          </cell>
        </row>
        <row r="247">
          <cell r="B247" t="str">
            <v/>
          </cell>
        </row>
        <row r="248">
          <cell r="A248" t="str">
            <v>2016/17</v>
          </cell>
          <cell r="B248" t="str">
            <v>Q1</v>
          </cell>
          <cell r="D248">
            <v>1737</v>
          </cell>
          <cell r="E248">
            <v>15148</v>
          </cell>
          <cell r="F248">
            <v>14.27</v>
          </cell>
          <cell r="G248">
            <v>16899</v>
          </cell>
          <cell r="J248">
            <v>2279</v>
          </cell>
          <cell r="K248">
            <v>3968</v>
          </cell>
          <cell r="L248">
            <v>548</v>
          </cell>
          <cell r="M248">
            <v>4516</v>
          </cell>
          <cell r="N248">
            <v>12383</v>
          </cell>
          <cell r="O248">
            <v>1343.078</v>
          </cell>
          <cell r="P248">
            <v>1688.915</v>
          </cell>
        </row>
        <row r="249">
          <cell r="A249" t="str">
            <v>2016/17</v>
          </cell>
          <cell r="B249" t="str">
            <v>Q2</v>
          </cell>
          <cell r="D249">
            <v>12383</v>
          </cell>
          <cell r="F249">
            <v>11.79</v>
          </cell>
          <cell r="G249">
            <v>12395</v>
          </cell>
          <cell r="J249">
            <v>1523</v>
          </cell>
          <cell r="K249">
            <v>3235</v>
          </cell>
          <cell r="L249">
            <v>539</v>
          </cell>
          <cell r="M249">
            <v>3773</v>
          </cell>
          <cell r="N249">
            <v>8622</v>
          </cell>
          <cell r="O249">
            <v>1371.212</v>
          </cell>
          <cell r="P249">
            <v>1711.4939999999999</v>
          </cell>
        </row>
        <row r="250">
          <cell r="A250" t="str">
            <v>2016/17</v>
          </cell>
          <cell r="B250" t="str">
            <v>Q3</v>
          </cell>
          <cell r="D250">
            <v>8622</v>
          </cell>
          <cell r="F250">
            <v>17.350000000000001</v>
          </cell>
          <cell r="G250">
            <v>8639</v>
          </cell>
          <cell r="J250">
            <v>982</v>
          </cell>
          <cell r="K250">
            <v>2723</v>
          </cell>
          <cell r="L250">
            <v>687</v>
          </cell>
          <cell r="M250">
            <v>3410</v>
          </cell>
          <cell r="N250">
            <v>5229</v>
          </cell>
          <cell r="O250">
            <v>1346.1010000000001</v>
          </cell>
          <cell r="P250">
            <v>1741.336</v>
          </cell>
        </row>
        <row r="251">
          <cell r="A251" t="str">
            <v>2016/17</v>
          </cell>
          <cell r="B251" t="str">
            <v>Q4</v>
          </cell>
          <cell r="D251">
            <v>5229</v>
          </cell>
          <cell r="F251">
            <v>13.66</v>
          </cell>
          <cell r="G251">
            <v>5243</v>
          </cell>
          <cell r="J251">
            <v>686</v>
          </cell>
          <cell r="K251">
            <v>2430</v>
          </cell>
          <cell r="L251">
            <v>520</v>
          </cell>
          <cell r="M251">
            <v>2949</v>
          </cell>
          <cell r="N251">
            <v>2293</v>
          </cell>
          <cell r="O251">
            <v>1371.5619999999999</v>
          </cell>
          <cell r="P251">
            <v>1743.4849999999999</v>
          </cell>
        </row>
        <row r="252">
          <cell r="A252" t="str">
            <v>2016/17</v>
          </cell>
          <cell r="B252" t="str">
            <v>MY</v>
          </cell>
          <cell r="D252">
            <v>1737</v>
          </cell>
          <cell r="E252">
            <v>15148</v>
          </cell>
          <cell r="F252">
            <v>57.07</v>
          </cell>
          <cell r="G252">
            <v>16942</v>
          </cell>
          <cell r="J252">
            <v>5470</v>
          </cell>
          <cell r="K252">
            <v>12355</v>
          </cell>
          <cell r="L252">
            <v>2294</v>
          </cell>
          <cell r="M252">
            <v>14649</v>
          </cell>
          <cell r="N252">
            <v>2293</v>
          </cell>
          <cell r="O252">
            <v>5431.9530000000004</v>
          </cell>
          <cell r="P252">
            <v>6885.223</v>
          </cell>
        </row>
        <row r="253">
          <cell r="B253" t="str">
            <v/>
          </cell>
        </row>
        <row r="254">
          <cell r="A254" t="str">
            <v>2017/18</v>
          </cell>
          <cell r="B254" t="str">
            <v>Q1</v>
          </cell>
          <cell r="D254">
            <v>2293</v>
          </cell>
          <cell r="E254">
            <v>14609</v>
          </cell>
          <cell r="F254">
            <v>10.79</v>
          </cell>
          <cell r="G254">
            <v>16914</v>
          </cell>
          <cell r="J254">
            <v>2256</v>
          </cell>
          <cell r="K254">
            <v>3998</v>
          </cell>
          <cell r="L254">
            <v>349</v>
          </cell>
          <cell r="M254">
            <v>4347</v>
          </cell>
          <cell r="N254">
            <v>12567</v>
          </cell>
          <cell r="O254">
            <v>1391.29</v>
          </cell>
          <cell r="P254">
            <v>1742.7460000000001</v>
          </cell>
        </row>
        <row r="255">
          <cell r="A255" t="str">
            <v>2017/18</v>
          </cell>
          <cell r="B255" t="str">
            <v>Q2</v>
          </cell>
          <cell r="D255">
            <v>12567</v>
          </cell>
          <cell r="F255">
            <v>8.36</v>
          </cell>
          <cell r="G255">
            <v>12575</v>
          </cell>
          <cell r="J255">
            <v>1497</v>
          </cell>
          <cell r="K255">
            <v>3236</v>
          </cell>
          <cell r="L255">
            <v>447</v>
          </cell>
          <cell r="M255">
            <v>3683</v>
          </cell>
          <cell r="N255">
            <v>8892</v>
          </cell>
          <cell r="O255">
            <v>1397.4639999999999</v>
          </cell>
          <cell r="P255">
            <v>1738.7760000000001</v>
          </cell>
        </row>
        <row r="256">
          <cell r="A256" t="str">
            <v>2017/18</v>
          </cell>
          <cell r="B256" t="str">
            <v>Q3</v>
          </cell>
          <cell r="D256">
            <v>8892</v>
          </cell>
          <cell r="F256">
            <v>7.59</v>
          </cell>
          <cell r="G256">
            <v>8900</v>
          </cell>
          <cell r="J256">
            <v>951</v>
          </cell>
          <cell r="K256">
            <v>2733</v>
          </cell>
          <cell r="L256">
            <v>862</v>
          </cell>
          <cell r="M256">
            <v>3595</v>
          </cell>
          <cell r="N256">
            <v>5305</v>
          </cell>
          <cell r="O256">
            <v>1388.6389999999999</v>
          </cell>
          <cell r="P256">
            <v>1781.5126</v>
          </cell>
        </row>
        <row r="257">
          <cell r="A257" t="str">
            <v>2017/18</v>
          </cell>
          <cell r="B257" t="str">
            <v>Q4</v>
          </cell>
          <cell r="D257">
            <v>5305</v>
          </cell>
          <cell r="F257">
            <v>9.27</v>
          </cell>
          <cell r="G257">
            <v>5314</v>
          </cell>
          <cell r="J257">
            <v>600</v>
          </cell>
          <cell r="K257">
            <v>2394</v>
          </cell>
          <cell r="L257">
            <v>780</v>
          </cell>
          <cell r="M257">
            <v>3174</v>
          </cell>
          <cell r="N257">
            <v>2140</v>
          </cell>
          <cell r="O257">
            <v>1427.434</v>
          </cell>
          <cell r="P257">
            <v>1793.7650000000001</v>
          </cell>
        </row>
        <row r="258">
          <cell r="A258" t="str">
            <v>2017/18</v>
          </cell>
          <cell r="B258" t="str">
            <v>MY</v>
          </cell>
          <cell r="D258">
            <v>2293</v>
          </cell>
          <cell r="E258">
            <v>14609</v>
          </cell>
          <cell r="F258">
            <v>36.01</v>
          </cell>
          <cell r="G258">
            <v>16939</v>
          </cell>
          <cell r="J258">
            <v>5304</v>
          </cell>
          <cell r="K258">
            <v>12361</v>
          </cell>
          <cell r="L258">
            <v>2438</v>
          </cell>
          <cell r="M258">
            <v>14798</v>
          </cell>
          <cell r="N258">
            <v>2140</v>
          </cell>
          <cell r="O258">
            <v>5604.8270000000002</v>
          </cell>
          <cell r="P258">
            <v>7056.8010000000004</v>
          </cell>
        </row>
        <row r="259">
          <cell r="B259" t="str">
            <v/>
          </cell>
        </row>
        <row r="260">
          <cell r="A260" t="str">
            <v>2018/19</v>
          </cell>
          <cell r="B260" t="str">
            <v>Q1</v>
          </cell>
          <cell r="D260">
            <v>2140</v>
          </cell>
          <cell r="E260">
            <v>14340</v>
          </cell>
          <cell r="F260">
            <v>6.16</v>
          </cell>
          <cell r="G260">
            <v>16487</v>
          </cell>
          <cell r="J260">
            <v>2208</v>
          </cell>
          <cell r="K260">
            <v>3918</v>
          </cell>
          <cell r="L260">
            <v>632</v>
          </cell>
          <cell r="M260">
            <v>4550</v>
          </cell>
          <cell r="N260">
            <v>11937</v>
          </cell>
          <cell r="O260">
            <v>1365.704</v>
          </cell>
          <cell r="P260">
            <v>1710.33</v>
          </cell>
        </row>
        <row r="261">
          <cell r="A261" t="str">
            <v>2018/19</v>
          </cell>
          <cell r="B261" t="str">
            <v>Q2</v>
          </cell>
          <cell r="D261">
            <v>11937</v>
          </cell>
          <cell r="F261">
            <v>8.6999999999999993</v>
          </cell>
          <cell r="G261">
            <v>11945</v>
          </cell>
          <cell r="J261">
            <v>1191</v>
          </cell>
          <cell r="K261">
            <v>2833</v>
          </cell>
          <cell r="L261">
            <v>500</v>
          </cell>
          <cell r="M261">
            <v>3332</v>
          </cell>
          <cell r="N261">
            <v>8613</v>
          </cell>
          <cell r="O261">
            <v>1308.5540000000001</v>
          </cell>
          <cell r="P261">
            <v>1641.5863999999999</v>
          </cell>
        </row>
        <row r="262">
          <cell r="A262" t="str">
            <v>2018/19</v>
          </cell>
          <cell r="B262" t="str">
            <v>Q3</v>
          </cell>
          <cell r="D262">
            <v>8613</v>
          </cell>
          <cell r="F262">
            <v>6.35</v>
          </cell>
          <cell r="G262">
            <v>8620</v>
          </cell>
          <cell r="J262">
            <v>1118</v>
          </cell>
          <cell r="K262">
            <v>2831</v>
          </cell>
          <cell r="L262">
            <v>586</v>
          </cell>
          <cell r="M262">
            <v>3417</v>
          </cell>
          <cell r="N262">
            <v>5202</v>
          </cell>
          <cell r="O262">
            <v>1341.922</v>
          </cell>
          <cell r="P262">
            <v>1712.5930000000001</v>
          </cell>
        </row>
        <row r="263">
          <cell r="A263" t="str">
            <v>2018/19</v>
          </cell>
          <cell r="B263" t="str">
            <v>Q4</v>
          </cell>
          <cell r="D263">
            <v>5202</v>
          </cell>
          <cell r="F263">
            <v>6.74</v>
          </cell>
          <cell r="G263">
            <v>5209</v>
          </cell>
          <cell r="J263">
            <v>912</v>
          </cell>
          <cell r="K263">
            <v>2640</v>
          </cell>
          <cell r="L263">
            <v>348</v>
          </cell>
          <cell r="M263">
            <v>2988</v>
          </cell>
          <cell r="N263">
            <v>2221</v>
          </cell>
          <cell r="O263">
            <v>1361.846</v>
          </cell>
          <cell r="P263">
            <v>1728.08</v>
          </cell>
        </row>
        <row r="264">
          <cell r="A264" t="str">
            <v>2018/19</v>
          </cell>
          <cell r="B264" t="str">
            <v>MY</v>
          </cell>
          <cell r="D264">
            <v>2140</v>
          </cell>
          <cell r="E264">
            <v>14340</v>
          </cell>
          <cell r="F264">
            <v>27.96</v>
          </cell>
          <cell r="G264">
            <v>16509</v>
          </cell>
          <cell r="J264">
            <v>5429</v>
          </cell>
          <cell r="K264">
            <v>12222</v>
          </cell>
          <cell r="L264">
            <v>2066</v>
          </cell>
          <cell r="M264">
            <v>14288</v>
          </cell>
          <cell r="N264">
            <v>2221</v>
          </cell>
          <cell r="O264">
            <v>5378.0259999999998</v>
          </cell>
          <cell r="P264">
            <v>6792.5839999999998</v>
          </cell>
        </row>
        <row r="265">
          <cell r="B265" t="str">
            <v/>
          </cell>
        </row>
        <row r="266">
          <cell r="A266" t="str">
            <v>2019/20</v>
          </cell>
          <cell r="B266" t="str">
            <v>Q1</v>
          </cell>
          <cell r="D266">
            <v>2221</v>
          </cell>
          <cell r="E266">
            <v>13617</v>
          </cell>
          <cell r="F266">
            <v>17.95</v>
          </cell>
          <cell r="G266">
            <v>15856</v>
          </cell>
          <cell r="J266">
            <v>2619</v>
          </cell>
          <cell r="K266">
            <v>4259</v>
          </cell>
          <cell r="L266">
            <v>270</v>
          </cell>
          <cell r="M266">
            <v>4529</v>
          </cell>
          <cell r="N266">
            <v>11327</v>
          </cell>
          <cell r="O266">
            <v>1301.461</v>
          </cell>
          <cell r="P266">
            <v>1639.8240000000001</v>
          </cell>
        </row>
        <row r="267">
          <cell r="A267" t="str">
            <v>2019/20</v>
          </cell>
          <cell r="B267" t="str">
            <v>Q2</v>
          </cell>
          <cell r="D267">
            <v>11327</v>
          </cell>
          <cell r="F267">
            <v>8.92</v>
          </cell>
          <cell r="G267">
            <v>11336</v>
          </cell>
          <cell r="J267">
            <v>1309</v>
          </cell>
          <cell r="K267">
            <v>3030</v>
          </cell>
          <cell r="L267">
            <v>355</v>
          </cell>
          <cell r="M267">
            <v>3385</v>
          </cell>
          <cell r="N267">
            <v>7951</v>
          </cell>
          <cell r="O267">
            <v>1381.4259999999999</v>
          </cell>
          <cell r="P267">
            <v>1721.4059999999999</v>
          </cell>
        </row>
        <row r="268">
          <cell r="A268" t="str">
            <v>2019/20</v>
          </cell>
          <cell r="B268" t="str">
            <v>Q3</v>
          </cell>
          <cell r="D268">
            <v>7951</v>
          </cell>
          <cell r="F268">
            <v>9.4700000000000006</v>
          </cell>
          <cell r="G268">
            <v>7961</v>
          </cell>
          <cell r="J268">
            <v>796</v>
          </cell>
          <cell r="K268">
            <v>2131</v>
          </cell>
          <cell r="L268">
            <v>606</v>
          </cell>
          <cell r="M268">
            <v>2737</v>
          </cell>
          <cell r="N268">
            <v>5224</v>
          </cell>
          <cell r="O268">
            <v>955.23099999999999</v>
          </cell>
          <cell r="P268">
            <v>1334.856</v>
          </cell>
        </row>
        <row r="269">
          <cell r="A269" t="str">
            <v>2019/20</v>
          </cell>
          <cell r="B269" t="str">
            <v>MY</v>
          </cell>
          <cell r="D269">
            <v>2221</v>
          </cell>
          <cell r="E269">
            <v>13617</v>
          </cell>
          <cell r="F269">
            <v>45</v>
          </cell>
          <cell r="G269">
            <v>15883</v>
          </cell>
          <cell r="J269">
            <v>5600</v>
          </cell>
          <cell r="K269">
            <v>11865</v>
          </cell>
          <cell r="L269">
            <v>1765</v>
          </cell>
          <cell r="M269">
            <v>13630</v>
          </cell>
          <cell r="N269">
            <v>2253</v>
          </cell>
          <cell r="O269">
            <v>4855</v>
          </cell>
          <cell r="P269">
            <v>6265</v>
          </cell>
        </row>
        <row r="270">
          <cell r="B270" t="str">
            <v/>
          </cell>
        </row>
        <row r="271">
          <cell r="A271" t="str">
            <v>2020/21</v>
          </cell>
          <cell r="B271" t="str">
            <v>MY</v>
          </cell>
          <cell r="D271">
            <v>2253</v>
          </cell>
          <cell r="E271">
            <v>14900</v>
          </cell>
          <cell r="F271">
            <v>25</v>
          </cell>
          <cell r="G271">
            <v>17178</v>
          </cell>
          <cell r="J271">
            <v>5825</v>
          </cell>
          <cell r="K271">
            <v>12350</v>
          </cell>
          <cell r="L271">
            <v>2325</v>
          </cell>
          <cell r="M271">
            <v>14675</v>
          </cell>
          <cell r="N271">
            <v>2503</v>
          </cell>
          <cell r="O271">
            <v>5100</v>
          </cell>
          <cell r="P271">
            <v>6525</v>
          </cell>
        </row>
        <row r="272">
          <cell r="B272" t="str">
            <v/>
          </cell>
          <cell r="P272" t="str">
            <v/>
          </cell>
        </row>
      </sheetData>
      <sheetData sheetId="3">
        <row r="1">
          <cell r="A1" t="str">
            <v>Marketing Year</v>
          </cell>
          <cell r="B1" t="str">
            <v>Q#/MY</v>
          </cell>
          <cell r="D1" t="str">
            <v>Beginning stocks</v>
          </cell>
          <cell r="E1" t="str">
            <v>Production</v>
          </cell>
          <cell r="F1" t="str">
            <v>Imports 2/</v>
          </cell>
          <cell r="G1" t="str">
            <v>Total supply 3/</v>
          </cell>
          <cell r="H1" t="str">
            <v>Food use</v>
          </cell>
          <cell r="I1" t="str">
            <v>Seed use</v>
          </cell>
          <cell r="J1" t="str">
            <v>Feed and residual use</v>
          </cell>
          <cell r="K1" t="str">
            <v>Total domestic use 3/</v>
          </cell>
          <cell r="L1" t="str">
            <v>Exports 2/</v>
          </cell>
          <cell r="M1" t="str">
            <v>Total disappearance 3/</v>
          </cell>
          <cell r="N1" t="str">
            <v>Ending stocks</v>
          </cell>
        </row>
        <row r="2">
          <cell r="A2" t="str">
            <v>1975/76</v>
          </cell>
          <cell r="B2" t="str">
            <v>Q1</v>
          </cell>
          <cell r="D2">
            <v>435</v>
          </cell>
          <cell r="E2">
            <v>2126.9270000000001</v>
          </cell>
          <cell r="F2">
            <v>0.7</v>
          </cell>
          <cell r="G2">
            <v>2562.627</v>
          </cell>
          <cell r="H2">
            <v>140</v>
          </cell>
          <cell r="I2">
            <v>1</v>
          </cell>
          <cell r="J2">
            <v>20.852</v>
          </cell>
          <cell r="K2">
            <v>161.852</v>
          </cell>
          <cell r="L2">
            <v>300.07499999999999</v>
          </cell>
          <cell r="M2">
            <v>461.92700000000002</v>
          </cell>
          <cell r="N2">
            <v>2100.6999999999998</v>
          </cell>
        </row>
        <row r="3">
          <cell r="A3" t="str">
            <v>1975/76</v>
          </cell>
          <cell r="B3" t="str">
            <v>Q2</v>
          </cell>
          <cell r="D3">
            <v>2100.6999999999998</v>
          </cell>
          <cell r="E3" t="str">
            <v>--</v>
          </cell>
          <cell r="F3">
            <v>0.8</v>
          </cell>
          <cell r="G3">
            <v>2101.5</v>
          </cell>
          <cell r="H3">
            <v>156.4</v>
          </cell>
          <cell r="I3">
            <v>68</v>
          </cell>
          <cell r="J3">
            <v>-47.847000000000001</v>
          </cell>
          <cell r="K3">
            <v>176.553</v>
          </cell>
          <cell r="L3">
            <v>376.64699999999999</v>
          </cell>
          <cell r="M3">
            <v>553.20000000000005</v>
          </cell>
          <cell r="N3">
            <v>1548.3</v>
          </cell>
        </row>
        <row r="4">
          <cell r="A4" t="str">
            <v>1975/76</v>
          </cell>
          <cell r="B4" t="str">
            <v>Q3</v>
          </cell>
          <cell r="D4">
            <v>1548.3</v>
          </cell>
          <cell r="E4" t="str">
            <v>--</v>
          </cell>
          <cell r="F4">
            <v>0.3</v>
          </cell>
          <cell r="G4">
            <v>1548.6</v>
          </cell>
          <cell r="H4">
            <v>144.80000000000001</v>
          </cell>
          <cell r="I4">
            <v>2</v>
          </cell>
          <cell r="J4">
            <v>52.81</v>
          </cell>
          <cell r="K4">
            <v>199.61</v>
          </cell>
          <cell r="L4">
            <v>263.49</v>
          </cell>
          <cell r="M4">
            <v>463.1</v>
          </cell>
          <cell r="N4">
            <v>1085.5</v>
          </cell>
        </row>
        <row r="5">
          <cell r="A5" t="str">
            <v>1975/76</v>
          </cell>
          <cell r="B5" t="str">
            <v>Q4</v>
          </cell>
          <cell r="D5">
            <v>1085.5</v>
          </cell>
          <cell r="E5" t="str">
            <v>--</v>
          </cell>
          <cell r="F5">
            <v>0.6</v>
          </cell>
          <cell r="G5">
            <v>1086.0999999999999</v>
          </cell>
          <cell r="H5">
            <v>147.30000000000001</v>
          </cell>
          <cell r="I5">
            <v>29</v>
          </cell>
          <cell r="J5">
            <v>11.502000000000001</v>
          </cell>
          <cell r="K5">
            <v>187.80199999999999</v>
          </cell>
          <cell r="L5">
            <v>232.66900000000001</v>
          </cell>
          <cell r="M5">
            <v>420.471</v>
          </cell>
          <cell r="N5">
            <v>665.62900000000002</v>
          </cell>
        </row>
        <row r="6">
          <cell r="A6" t="str">
            <v>1975/76</v>
          </cell>
          <cell r="B6" t="str">
            <v>MY</v>
          </cell>
          <cell r="D6">
            <v>435</v>
          </cell>
          <cell r="E6">
            <v>2126.9270000000001</v>
          </cell>
          <cell r="F6">
            <v>2.4</v>
          </cell>
          <cell r="G6">
            <v>2564.3270000000002</v>
          </cell>
          <cell r="H6">
            <v>588.5</v>
          </cell>
          <cell r="I6">
            <v>100</v>
          </cell>
          <cell r="J6">
            <v>37.317</v>
          </cell>
          <cell r="K6">
            <v>725.81700000000001</v>
          </cell>
          <cell r="L6">
            <v>1172.8810000000001</v>
          </cell>
          <cell r="M6">
            <v>1898.6980000000001</v>
          </cell>
          <cell r="N6">
            <v>665.62900000000002</v>
          </cell>
        </row>
        <row r="7">
          <cell r="B7" t="str">
            <v/>
          </cell>
        </row>
        <row r="8">
          <cell r="A8" t="str">
            <v>1976/77</v>
          </cell>
          <cell r="B8" t="str">
            <v>Q1</v>
          </cell>
          <cell r="D8">
            <v>665.62900000000002</v>
          </cell>
          <cell r="E8">
            <v>2148.7800000000002</v>
          </cell>
          <cell r="F8">
            <v>0.8</v>
          </cell>
          <cell r="G8">
            <v>2815.2089999999998</v>
          </cell>
          <cell r="H8">
            <v>150</v>
          </cell>
          <cell r="I8">
            <v>1</v>
          </cell>
          <cell r="J8">
            <v>-2.9550000000000001</v>
          </cell>
          <cell r="K8">
            <v>148.04499999999999</v>
          </cell>
          <cell r="L8">
            <v>281.964</v>
          </cell>
          <cell r="M8">
            <v>430.00900000000001</v>
          </cell>
          <cell r="N8">
            <v>2385.1999999999998</v>
          </cell>
        </row>
        <row r="9">
          <cell r="A9" t="str">
            <v>1976/77</v>
          </cell>
          <cell r="B9" t="str">
            <v>Q2</v>
          </cell>
          <cell r="D9">
            <v>2385.1999999999998</v>
          </cell>
          <cell r="E9" t="str">
            <v>--</v>
          </cell>
          <cell r="F9">
            <v>0.5</v>
          </cell>
          <cell r="G9">
            <v>2385.6999999999998</v>
          </cell>
          <cell r="H9">
            <v>153</v>
          </cell>
          <cell r="I9">
            <v>64</v>
          </cell>
          <cell r="J9">
            <v>-2.7949999999999999</v>
          </cell>
          <cell r="K9">
            <v>214.20500000000001</v>
          </cell>
          <cell r="L9">
            <v>277.29500000000002</v>
          </cell>
          <cell r="M9">
            <v>491.5</v>
          </cell>
          <cell r="N9">
            <v>1894.2</v>
          </cell>
        </row>
        <row r="10">
          <cell r="A10" t="str">
            <v>1976/77</v>
          </cell>
          <cell r="B10" t="str">
            <v>Q3</v>
          </cell>
          <cell r="D10">
            <v>1894.2</v>
          </cell>
          <cell r="E10" t="str">
            <v>--</v>
          </cell>
          <cell r="F10">
            <v>0.4</v>
          </cell>
          <cell r="G10">
            <v>1894.6</v>
          </cell>
          <cell r="H10">
            <v>144.80000000000001</v>
          </cell>
          <cell r="I10">
            <v>1</v>
          </cell>
          <cell r="J10">
            <v>44.970999999999997</v>
          </cell>
          <cell r="K10">
            <v>190.77099999999999</v>
          </cell>
          <cell r="L10">
            <v>178.929</v>
          </cell>
          <cell r="M10">
            <v>369.7</v>
          </cell>
          <cell r="N10">
            <v>1524.9</v>
          </cell>
        </row>
        <row r="11">
          <cell r="A11" t="str">
            <v>1976/77</v>
          </cell>
          <cell r="B11" t="str">
            <v>Q4</v>
          </cell>
          <cell r="D11">
            <v>1524.9</v>
          </cell>
          <cell r="E11" t="str">
            <v>--</v>
          </cell>
          <cell r="F11">
            <v>1</v>
          </cell>
          <cell r="G11">
            <v>1525.9</v>
          </cell>
          <cell r="H11">
            <v>140.19999999999999</v>
          </cell>
          <cell r="I11">
            <v>26</v>
          </cell>
          <cell r="J11">
            <v>35.106999999999999</v>
          </cell>
          <cell r="K11">
            <v>201.30699999999999</v>
          </cell>
          <cell r="L11">
            <v>211.34399999999999</v>
          </cell>
          <cell r="M11">
            <v>412.65100000000001</v>
          </cell>
          <cell r="N11">
            <v>1113.249</v>
          </cell>
        </row>
        <row r="12">
          <cell r="A12" t="str">
            <v>1976/77</v>
          </cell>
          <cell r="B12" t="str">
            <v>MY</v>
          </cell>
          <cell r="D12">
            <v>665.62900000000002</v>
          </cell>
          <cell r="E12">
            <v>2148.7800000000002</v>
          </cell>
          <cell r="F12">
            <v>2.7</v>
          </cell>
          <cell r="G12">
            <v>2817.1089999999999</v>
          </cell>
          <cell r="H12">
            <v>588</v>
          </cell>
          <cell r="I12">
            <v>92</v>
          </cell>
          <cell r="J12">
            <v>74.328000000000003</v>
          </cell>
          <cell r="K12">
            <v>754.32799999999997</v>
          </cell>
          <cell r="L12">
            <v>949.53200000000004</v>
          </cell>
          <cell r="M12">
            <v>1703.86</v>
          </cell>
          <cell r="N12">
            <v>1113.249</v>
          </cell>
        </row>
        <row r="13">
          <cell r="B13" t="str">
            <v/>
          </cell>
        </row>
        <row r="14">
          <cell r="A14" t="str">
            <v>1977/78</v>
          </cell>
          <cell r="B14" t="str">
            <v>Q1</v>
          </cell>
          <cell r="D14">
            <v>1113.249</v>
          </cell>
          <cell r="E14">
            <v>2045.527</v>
          </cell>
          <cell r="F14">
            <v>0.7</v>
          </cell>
          <cell r="G14">
            <v>3159.4760000000001</v>
          </cell>
          <cell r="H14">
            <v>142.69999999999999</v>
          </cell>
          <cell r="I14">
            <v>1</v>
          </cell>
          <cell r="J14">
            <v>117.131</v>
          </cell>
          <cell r="K14">
            <v>260.83100000000002</v>
          </cell>
          <cell r="L14">
            <v>266.94499999999999</v>
          </cell>
          <cell r="M14">
            <v>527.77599999999995</v>
          </cell>
          <cell r="N14">
            <v>2631.7</v>
          </cell>
        </row>
        <row r="15">
          <cell r="A15" t="str">
            <v>1977/78</v>
          </cell>
          <cell r="B15" t="str">
            <v>Q2</v>
          </cell>
          <cell r="D15">
            <v>2631.7</v>
          </cell>
          <cell r="E15" t="str">
            <v>--</v>
          </cell>
          <cell r="F15">
            <v>0.5</v>
          </cell>
          <cell r="G15">
            <v>2632.2</v>
          </cell>
          <cell r="H15">
            <v>154.30000000000001</v>
          </cell>
          <cell r="I15">
            <v>54</v>
          </cell>
          <cell r="J15">
            <v>36.997999999999998</v>
          </cell>
          <cell r="K15">
            <v>245.298</v>
          </cell>
          <cell r="L15">
            <v>247.50200000000001</v>
          </cell>
          <cell r="M15">
            <v>492.8</v>
          </cell>
          <cell r="N15">
            <v>2139.4</v>
          </cell>
        </row>
        <row r="16">
          <cell r="A16" t="str">
            <v>1977/78</v>
          </cell>
          <cell r="B16" t="str">
            <v>Q3</v>
          </cell>
          <cell r="D16">
            <v>2139.4</v>
          </cell>
          <cell r="E16" t="str">
            <v>--</v>
          </cell>
          <cell r="F16">
            <v>0.4</v>
          </cell>
          <cell r="G16">
            <v>2139.8000000000002</v>
          </cell>
          <cell r="H16">
            <v>143.69999999999999</v>
          </cell>
          <cell r="I16">
            <v>1</v>
          </cell>
          <cell r="J16">
            <v>28.309000000000001</v>
          </cell>
          <cell r="K16">
            <v>173.00899999999999</v>
          </cell>
          <cell r="L16">
            <v>260.19099999999997</v>
          </cell>
          <cell r="M16">
            <v>433.2</v>
          </cell>
          <cell r="N16">
            <v>1706.6</v>
          </cell>
        </row>
        <row r="17">
          <cell r="A17" t="str">
            <v>1977/78</v>
          </cell>
          <cell r="B17" t="str">
            <v>Q4</v>
          </cell>
          <cell r="D17">
            <v>1706.6</v>
          </cell>
          <cell r="E17" t="str">
            <v>--</v>
          </cell>
          <cell r="F17">
            <v>0.3</v>
          </cell>
          <cell r="G17">
            <v>1706.9</v>
          </cell>
          <cell r="H17">
            <v>145.80000000000001</v>
          </cell>
          <cell r="I17">
            <v>24</v>
          </cell>
          <cell r="J17">
            <v>10.063000000000001</v>
          </cell>
          <cell r="K17">
            <v>179.863</v>
          </cell>
          <cell r="L17">
            <v>349.22899999999998</v>
          </cell>
          <cell r="M17">
            <v>529.09199999999998</v>
          </cell>
          <cell r="N17">
            <v>1177.808</v>
          </cell>
        </row>
        <row r="18">
          <cell r="A18" t="str">
            <v>1977/78</v>
          </cell>
          <cell r="B18" t="str">
            <v>MY</v>
          </cell>
          <cell r="D18">
            <v>1113.249</v>
          </cell>
          <cell r="E18">
            <v>2045.527</v>
          </cell>
          <cell r="F18">
            <v>1.9</v>
          </cell>
          <cell r="G18">
            <v>3160.6759999999999</v>
          </cell>
          <cell r="H18">
            <v>586.5</v>
          </cell>
          <cell r="I18">
            <v>80</v>
          </cell>
          <cell r="J18">
            <v>192.501</v>
          </cell>
          <cell r="K18">
            <v>859.00099999999998</v>
          </cell>
          <cell r="L18">
            <v>1123.867</v>
          </cell>
          <cell r="M18">
            <v>1982.8679999999999</v>
          </cell>
          <cell r="N18">
            <v>1177.808</v>
          </cell>
        </row>
        <row r="19">
          <cell r="B19" t="str">
            <v/>
          </cell>
        </row>
        <row r="20">
          <cell r="A20" t="str">
            <v>1978/79</v>
          </cell>
          <cell r="B20" t="str">
            <v>Q1</v>
          </cell>
          <cell r="D20">
            <v>1177.808</v>
          </cell>
          <cell r="E20">
            <v>1775.5239999999999</v>
          </cell>
          <cell r="F20">
            <v>0.6</v>
          </cell>
          <cell r="G20">
            <v>2953.9319999999998</v>
          </cell>
          <cell r="H20">
            <v>145.19999999999999</v>
          </cell>
          <cell r="I20">
            <v>1</v>
          </cell>
          <cell r="J20">
            <v>80.861999999999995</v>
          </cell>
          <cell r="K20">
            <v>227.06200000000001</v>
          </cell>
          <cell r="L20">
            <v>366.77</v>
          </cell>
          <cell r="M20">
            <v>593.83199999999999</v>
          </cell>
          <cell r="N20">
            <v>2360.1</v>
          </cell>
        </row>
        <row r="21">
          <cell r="A21" t="str">
            <v>1978/79</v>
          </cell>
          <cell r="B21" t="str">
            <v>Q2</v>
          </cell>
          <cell r="D21">
            <v>2360.1</v>
          </cell>
          <cell r="E21" t="str">
            <v>--</v>
          </cell>
          <cell r="F21">
            <v>0.5</v>
          </cell>
          <cell r="G21">
            <v>2360.6</v>
          </cell>
          <cell r="H21">
            <v>151.80000000000001</v>
          </cell>
          <cell r="I21">
            <v>58</v>
          </cell>
          <cell r="J21">
            <v>33.021000000000001</v>
          </cell>
          <cell r="K21">
            <v>242.821</v>
          </cell>
          <cell r="L21">
            <v>342.17899999999997</v>
          </cell>
          <cell r="M21">
            <v>585</v>
          </cell>
          <cell r="N21">
            <v>1775.6</v>
          </cell>
        </row>
        <row r="22">
          <cell r="A22" t="str">
            <v>1978/79</v>
          </cell>
          <cell r="B22" t="str">
            <v>Q3</v>
          </cell>
          <cell r="D22">
            <v>1775.6</v>
          </cell>
          <cell r="E22" t="str">
            <v>--</v>
          </cell>
          <cell r="F22">
            <v>0.4</v>
          </cell>
          <cell r="G22">
            <v>1776</v>
          </cell>
          <cell r="H22">
            <v>145.9</v>
          </cell>
          <cell r="I22">
            <v>2</v>
          </cell>
          <cell r="J22">
            <v>21.975000000000001</v>
          </cell>
          <cell r="K22">
            <v>169.875</v>
          </cell>
          <cell r="L22">
            <v>238.02500000000001</v>
          </cell>
          <cell r="M22">
            <v>407.9</v>
          </cell>
          <cell r="N22">
            <v>1368.1</v>
          </cell>
        </row>
        <row r="23">
          <cell r="A23" t="str">
            <v>1978/79</v>
          </cell>
          <cell r="B23" t="str">
            <v>Q4</v>
          </cell>
          <cell r="D23">
            <v>1368.1</v>
          </cell>
          <cell r="E23" t="str">
            <v>--</v>
          </cell>
          <cell r="F23">
            <v>0.4</v>
          </cell>
          <cell r="G23">
            <v>1368.5</v>
          </cell>
          <cell r="H23">
            <v>149.5</v>
          </cell>
          <cell r="I23">
            <v>26</v>
          </cell>
          <cell r="J23">
            <v>21.745999999999999</v>
          </cell>
          <cell r="K23">
            <v>197.24600000000001</v>
          </cell>
          <cell r="L23">
            <v>247.155</v>
          </cell>
          <cell r="M23">
            <v>444.40100000000001</v>
          </cell>
          <cell r="N23">
            <v>924.09900000000005</v>
          </cell>
        </row>
        <row r="24">
          <cell r="A24" t="str">
            <v>1978/79</v>
          </cell>
          <cell r="B24" t="str">
            <v>MY</v>
          </cell>
          <cell r="D24">
            <v>1177.808</v>
          </cell>
          <cell r="E24">
            <v>1775.5239999999999</v>
          </cell>
          <cell r="F24">
            <v>1.9</v>
          </cell>
          <cell r="G24">
            <v>2955.232</v>
          </cell>
          <cell r="H24">
            <v>592.4</v>
          </cell>
          <cell r="I24">
            <v>87</v>
          </cell>
          <cell r="J24">
            <v>157.60400000000001</v>
          </cell>
          <cell r="K24">
            <v>837.00400000000002</v>
          </cell>
          <cell r="L24">
            <v>1194.1289999999999</v>
          </cell>
          <cell r="M24">
            <v>2031.133</v>
          </cell>
          <cell r="N24">
            <v>924.09900000000005</v>
          </cell>
        </row>
        <row r="25">
          <cell r="B25" t="str">
            <v/>
          </cell>
        </row>
        <row r="26">
          <cell r="A26" t="str">
            <v>1979/80</v>
          </cell>
          <cell r="B26" t="str">
            <v>Q1</v>
          </cell>
          <cell r="D26">
            <v>924.09900000000005</v>
          </cell>
          <cell r="E26">
            <v>2134.06</v>
          </cell>
          <cell r="F26">
            <v>0.6</v>
          </cell>
          <cell r="G26">
            <v>3058.759</v>
          </cell>
          <cell r="H26">
            <v>150.1</v>
          </cell>
          <cell r="I26">
            <v>1</v>
          </cell>
          <cell r="J26">
            <v>38.098999999999997</v>
          </cell>
          <cell r="K26">
            <v>189.19900000000001</v>
          </cell>
          <cell r="L26">
            <v>374.56</v>
          </cell>
          <cell r="M26">
            <v>563.75900000000001</v>
          </cell>
          <cell r="N26">
            <v>2495</v>
          </cell>
        </row>
        <row r="27">
          <cell r="A27" t="str">
            <v>1979/80</v>
          </cell>
          <cell r="B27" t="str">
            <v>Q2</v>
          </cell>
          <cell r="D27">
            <v>2495</v>
          </cell>
          <cell r="E27" t="str">
            <v>--</v>
          </cell>
          <cell r="F27">
            <v>0.6</v>
          </cell>
          <cell r="G27">
            <v>2495.6</v>
          </cell>
          <cell r="H27">
            <v>159.30000000000001</v>
          </cell>
          <cell r="I27">
            <v>66</v>
          </cell>
          <cell r="J27">
            <v>-8.4760000000000009</v>
          </cell>
          <cell r="K27">
            <v>216.82400000000001</v>
          </cell>
          <cell r="L27">
            <v>402.77600000000001</v>
          </cell>
          <cell r="M27">
            <v>619.6</v>
          </cell>
          <cell r="N27">
            <v>1876</v>
          </cell>
        </row>
        <row r="28">
          <cell r="A28" t="str">
            <v>1979/80</v>
          </cell>
          <cell r="B28" t="str">
            <v>Q3</v>
          </cell>
          <cell r="D28">
            <v>1876</v>
          </cell>
          <cell r="E28" t="str">
            <v>--</v>
          </cell>
          <cell r="F28">
            <v>0.5</v>
          </cell>
          <cell r="G28">
            <v>1876.5</v>
          </cell>
          <cell r="H28">
            <v>148.4</v>
          </cell>
          <cell r="I28">
            <v>3</v>
          </cell>
          <cell r="J28">
            <v>31.126999999999999</v>
          </cell>
          <cell r="K28">
            <v>182.52699999999999</v>
          </cell>
          <cell r="L28">
            <v>301.47300000000001</v>
          </cell>
          <cell r="M28">
            <v>484</v>
          </cell>
          <cell r="N28">
            <v>1392.5</v>
          </cell>
        </row>
        <row r="29">
          <cell r="A29" t="str">
            <v>1979/80</v>
          </cell>
          <cell r="B29" t="str">
            <v>Q4</v>
          </cell>
          <cell r="D29">
            <v>1392.5</v>
          </cell>
          <cell r="E29" t="str">
            <v>--</v>
          </cell>
          <cell r="F29">
            <v>0.4</v>
          </cell>
          <cell r="G29">
            <v>1392.9</v>
          </cell>
          <cell r="H29">
            <v>138.30000000000001</v>
          </cell>
          <cell r="I29">
            <v>31</v>
          </cell>
          <cell r="J29">
            <v>25.234999999999999</v>
          </cell>
          <cell r="K29">
            <v>194.535</v>
          </cell>
          <cell r="L29">
            <v>296.36599999999999</v>
          </cell>
          <cell r="M29">
            <v>490.90100000000001</v>
          </cell>
          <cell r="N29">
            <v>901.99900000000002</v>
          </cell>
        </row>
        <row r="30">
          <cell r="A30" t="str">
            <v>1979/80</v>
          </cell>
          <cell r="B30" t="str">
            <v>MY</v>
          </cell>
          <cell r="D30">
            <v>924.09900000000005</v>
          </cell>
          <cell r="E30">
            <v>2134.06</v>
          </cell>
          <cell r="F30">
            <v>2.1</v>
          </cell>
          <cell r="G30">
            <v>3060.259</v>
          </cell>
          <cell r="H30">
            <v>596.1</v>
          </cell>
          <cell r="I30">
            <v>101</v>
          </cell>
          <cell r="J30">
            <v>85.984999999999999</v>
          </cell>
          <cell r="K30">
            <v>783.08500000000004</v>
          </cell>
          <cell r="L30">
            <v>1375.175</v>
          </cell>
          <cell r="M30">
            <v>2158.2600000000002</v>
          </cell>
          <cell r="N30">
            <v>901.99900000000002</v>
          </cell>
        </row>
        <row r="31">
          <cell r="B31" t="str">
            <v/>
          </cell>
        </row>
        <row r="32">
          <cell r="A32" t="str">
            <v>1980/81</v>
          </cell>
          <cell r="B32" t="str">
            <v>Q1</v>
          </cell>
          <cell r="D32">
            <v>901.99900000000002</v>
          </cell>
          <cell r="E32">
            <v>2380.9340000000002</v>
          </cell>
          <cell r="F32">
            <v>0.8</v>
          </cell>
          <cell r="G32">
            <v>3283.7330000000002</v>
          </cell>
          <cell r="H32">
            <v>144.19999999999999</v>
          </cell>
          <cell r="I32">
            <v>2</v>
          </cell>
          <cell r="J32">
            <v>48.113</v>
          </cell>
          <cell r="K32">
            <v>194.31299999999999</v>
          </cell>
          <cell r="L32">
            <v>375.42</v>
          </cell>
          <cell r="M32">
            <v>569.73299999999995</v>
          </cell>
          <cell r="N32">
            <v>2714</v>
          </cell>
        </row>
        <row r="33">
          <cell r="A33" t="str">
            <v>1980/81</v>
          </cell>
          <cell r="B33" t="str">
            <v>Q2</v>
          </cell>
          <cell r="D33">
            <v>2714</v>
          </cell>
          <cell r="E33" t="str">
            <v>--</v>
          </cell>
          <cell r="F33">
            <v>0.6</v>
          </cell>
          <cell r="G33">
            <v>2714.6</v>
          </cell>
          <cell r="H33">
            <v>162.1</v>
          </cell>
          <cell r="I33">
            <v>76</v>
          </cell>
          <cell r="J33">
            <v>4.8650000000000002</v>
          </cell>
          <cell r="K33">
            <v>242.965</v>
          </cell>
          <cell r="L33">
            <v>379.33499999999998</v>
          </cell>
          <cell r="M33">
            <v>622.29999999999995</v>
          </cell>
          <cell r="N33">
            <v>2092.3000000000002</v>
          </cell>
        </row>
        <row r="34">
          <cell r="A34" t="str">
            <v>1980/81</v>
          </cell>
          <cell r="B34" t="str">
            <v>Q3</v>
          </cell>
          <cell r="D34">
            <v>2092.3000000000002</v>
          </cell>
          <cell r="E34" t="str">
            <v>--</v>
          </cell>
          <cell r="F34">
            <v>0.6</v>
          </cell>
          <cell r="G34">
            <v>2092.9</v>
          </cell>
          <cell r="H34">
            <v>158.80000000000001</v>
          </cell>
          <cell r="I34">
            <v>4</v>
          </cell>
          <cell r="J34">
            <v>8.1300000000000008</v>
          </cell>
          <cell r="K34">
            <v>170.93</v>
          </cell>
          <cell r="L34">
            <v>399.17</v>
          </cell>
          <cell r="M34">
            <v>570.1</v>
          </cell>
          <cell r="N34">
            <v>1522.8</v>
          </cell>
        </row>
        <row r="35">
          <cell r="A35" t="str">
            <v>1980/81</v>
          </cell>
          <cell r="B35" t="str">
            <v>Q4</v>
          </cell>
          <cell r="D35">
            <v>1522.8</v>
          </cell>
          <cell r="E35" t="str">
            <v>--</v>
          </cell>
          <cell r="F35">
            <v>0.5</v>
          </cell>
          <cell r="G35">
            <v>1523.3</v>
          </cell>
          <cell r="H35">
            <v>145.4</v>
          </cell>
          <cell r="I35">
            <v>31</v>
          </cell>
          <cell r="J35">
            <v>-2.1219999999999999</v>
          </cell>
          <cell r="K35">
            <v>174.27799999999999</v>
          </cell>
          <cell r="L35">
            <v>359.90899999999999</v>
          </cell>
          <cell r="M35">
            <v>534.18700000000001</v>
          </cell>
          <cell r="N35">
            <v>989.11300000000006</v>
          </cell>
        </row>
        <row r="36">
          <cell r="A36" t="str">
            <v>1980/81</v>
          </cell>
          <cell r="B36" t="str">
            <v>MY</v>
          </cell>
          <cell r="D36">
            <v>901.99900000000002</v>
          </cell>
          <cell r="E36">
            <v>2380.9340000000002</v>
          </cell>
          <cell r="F36">
            <v>2.5</v>
          </cell>
          <cell r="G36">
            <v>3285.433</v>
          </cell>
          <cell r="H36">
            <v>610.5</v>
          </cell>
          <cell r="I36">
            <v>113</v>
          </cell>
          <cell r="J36">
            <v>58.985999999999997</v>
          </cell>
          <cell r="K36">
            <v>782.48599999999999</v>
          </cell>
          <cell r="L36">
            <v>1513.8340000000001</v>
          </cell>
          <cell r="M36">
            <v>2296.3200000000002</v>
          </cell>
          <cell r="N36">
            <v>989.11300000000006</v>
          </cell>
        </row>
        <row r="37">
          <cell r="B37" t="str">
            <v/>
          </cell>
        </row>
        <row r="38">
          <cell r="A38" t="str">
            <v>1981/82</v>
          </cell>
          <cell r="B38" t="str">
            <v>Q1</v>
          </cell>
          <cell r="D38">
            <v>989.11300000000006</v>
          </cell>
          <cell r="E38">
            <v>2785.357</v>
          </cell>
          <cell r="F38">
            <v>0.7</v>
          </cell>
          <cell r="G38">
            <v>3775.17</v>
          </cell>
          <cell r="H38">
            <v>149.19999999999999</v>
          </cell>
          <cell r="I38">
            <v>1</v>
          </cell>
          <cell r="J38">
            <v>144.85599999999999</v>
          </cell>
          <cell r="K38">
            <v>295.05599999999998</v>
          </cell>
          <cell r="L38">
            <v>424.11399999999998</v>
          </cell>
          <cell r="M38">
            <v>719.17</v>
          </cell>
          <cell r="N38">
            <v>3056</v>
          </cell>
        </row>
        <row r="39">
          <cell r="A39" t="str">
            <v>1981/82</v>
          </cell>
          <cell r="B39" t="str">
            <v>Q2</v>
          </cell>
          <cell r="D39">
            <v>3056</v>
          </cell>
          <cell r="E39" t="str">
            <v>--</v>
          </cell>
          <cell r="F39">
            <v>0.8</v>
          </cell>
          <cell r="G39">
            <v>3056.8</v>
          </cell>
          <cell r="H39">
            <v>161.69999999999999</v>
          </cell>
          <cell r="I39">
            <v>78</v>
          </cell>
          <cell r="J39">
            <v>-7.125</v>
          </cell>
          <cell r="K39">
            <v>232.57499999999999</v>
          </cell>
          <cell r="L39">
            <v>485.82499999999999</v>
          </cell>
          <cell r="M39">
            <v>718.4</v>
          </cell>
          <cell r="N39">
            <v>2338.4</v>
          </cell>
        </row>
        <row r="40">
          <cell r="A40" t="str">
            <v>1981/82</v>
          </cell>
          <cell r="B40" t="str">
            <v>Q3</v>
          </cell>
          <cell r="D40">
            <v>2338.4</v>
          </cell>
          <cell r="E40" t="str">
            <v>--</v>
          </cell>
          <cell r="F40">
            <v>0.7</v>
          </cell>
          <cell r="G40">
            <v>2339.1</v>
          </cell>
          <cell r="H40">
            <v>150.1</v>
          </cell>
          <cell r="I40">
            <v>4</v>
          </cell>
          <cell r="J40">
            <v>-7.6340000000000003</v>
          </cell>
          <cell r="K40">
            <v>146.46600000000001</v>
          </cell>
          <cell r="L40">
            <v>415.03399999999999</v>
          </cell>
          <cell r="M40">
            <v>561.5</v>
          </cell>
          <cell r="N40">
            <v>1777.6</v>
          </cell>
        </row>
        <row r="41">
          <cell r="A41" t="str">
            <v>1981/82</v>
          </cell>
          <cell r="B41" t="str">
            <v>Q4</v>
          </cell>
          <cell r="D41">
            <v>1777.6</v>
          </cell>
          <cell r="E41" t="str">
            <v>--</v>
          </cell>
          <cell r="F41">
            <v>0.6</v>
          </cell>
          <cell r="G41">
            <v>1778.2</v>
          </cell>
          <cell r="H41">
            <v>141.4</v>
          </cell>
          <cell r="I41">
            <v>27</v>
          </cell>
          <cell r="J41">
            <v>4.6790000000000003</v>
          </cell>
          <cell r="K41">
            <v>173.07900000000001</v>
          </cell>
          <cell r="L41">
            <v>445.75700000000001</v>
          </cell>
          <cell r="M41">
            <v>618.83600000000001</v>
          </cell>
          <cell r="N41">
            <v>1159.364</v>
          </cell>
        </row>
        <row r="42">
          <cell r="A42" t="str">
            <v>1981/82</v>
          </cell>
          <cell r="B42" t="str">
            <v>MY</v>
          </cell>
          <cell r="D42">
            <v>989.11300000000006</v>
          </cell>
          <cell r="E42">
            <v>2785.357</v>
          </cell>
          <cell r="F42">
            <v>2.8</v>
          </cell>
          <cell r="G42">
            <v>3777.27</v>
          </cell>
          <cell r="H42">
            <v>602.4</v>
          </cell>
          <cell r="I42">
            <v>110</v>
          </cell>
          <cell r="J42">
            <v>134.77600000000001</v>
          </cell>
          <cell r="K42">
            <v>847.17600000000004</v>
          </cell>
          <cell r="L42">
            <v>1770.73</v>
          </cell>
          <cell r="M42">
            <v>2617.9059999999999</v>
          </cell>
          <cell r="N42">
            <v>1159.364</v>
          </cell>
        </row>
        <row r="43">
          <cell r="B43" t="str">
            <v/>
          </cell>
        </row>
        <row r="44">
          <cell r="A44" t="str">
            <v>1982/83</v>
          </cell>
          <cell r="B44" t="str">
            <v>Q1</v>
          </cell>
          <cell r="D44">
            <v>1159.364</v>
          </cell>
          <cell r="E44">
            <v>2764.9670000000001</v>
          </cell>
          <cell r="F44">
            <v>1.2</v>
          </cell>
          <cell r="G44">
            <v>3925.5309999999999</v>
          </cell>
          <cell r="H44">
            <v>152.9</v>
          </cell>
          <cell r="I44">
            <v>1</v>
          </cell>
          <cell r="J44">
            <v>131.22900000000001</v>
          </cell>
          <cell r="K44">
            <v>285.12900000000002</v>
          </cell>
          <cell r="L44">
            <v>411.10199999999998</v>
          </cell>
          <cell r="M44">
            <v>696.23099999999999</v>
          </cell>
          <cell r="N44">
            <v>3229.3</v>
          </cell>
        </row>
        <row r="45">
          <cell r="A45" t="str">
            <v>1982/83</v>
          </cell>
          <cell r="B45" t="str">
            <v>Q2</v>
          </cell>
          <cell r="D45">
            <v>3229.3</v>
          </cell>
          <cell r="E45" t="str">
            <v>--</v>
          </cell>
          <cell r="F45">
            <v>3</v>
          </cell>
          <cell r="G45">
            <v>3232.3</v>
          </cell>
          <cell r="H45">
            <v>159.5</v>
          </cell>
          <cell r="I45">
            <v>74</v>
          </cell>
          <cell r="J45">
            <v>18.837</v>
          </cell>
          <cell r="K45">
            <v>252.33699999999999</v>
          </cell>
          <cell r="L45">
            <v>337.16300000000001</v>
          </cell>
          <cell r="M45">
            <v>589.5</v>
          </cell>
          <cell r="N45">
            <v>2642.8</v>
          </cell>
        </row>
        <row r="46">
          <cell r="A46" t="str">
            <v>1982/83</v>
          </cell>
          <cell r="B46" t="str">
            <v>Q3</v>
          </cell>
          <cell r="D46">
            <v>2642.8</v>
          </cell>
          <cell r="E46" t="str">
            <v>--</v>
          </cell>
          <cell r="F46">
            <v>2.6</v>
          </cell>
          <cell r="G46">
            <v>2645.4</v>
          </cell>
          <cell r="H46">
            <v>152.4</v>
          </cell>
          <cell r="I46">
            <v>3</v>
          </cell>
          <cell r="J46">
            <v>24.187000000000001</v>
          </cell>
          <cell r="K46">
            <v>179.58699999999999</v>
          </cell>
          <cell r="L46">
            <v>393.81299999999999</v>
          </cell>
          <cell r="M46">
            <v>573.4</v>
          </cell>
          <cell r="N46">
            <v>2072</v>
          </cell>
        </row>
        <row r="47">
          <cell r="A47" t="str">
            <v>1982/83</v>
          </cell>
          <cell r="B47" t="str">
            <v>Q4</v>
          </cell>
          <cell r="D47">
            <v>2072</v>
          </cell>
          <cell r="E47" t="str">
            <v>--</v>
          </cell>
          <cell r="F47">
            <v>0.8</v>
          </cell>
          <cell r="G47">
            <v>2072.8000000000002</v>
          </cell>
          <cell r="H47">
            <v>151.6</v>
          </cell>
          <cell r="I47">
            <v>19</v>
          </cell>
          <cell r="J47">
            <v>20.582999999999998</v>
          </cell>
          <cell r="K47">
            <v>191.18299999999999</v>
          </cell>
          <cell r="L47">
            <v>366.55399999999997</v>
          </cell>
          <cell r="M47">
            <v>557.73699999999997</v>
          </cell>
          <cell r="N47">
            <v>1515.0630000000001</v>
          </cell>
        </row>
        <row r="48">
          <cell r="A48" t="str">
            <v>1982/83</v>
          </cell>
          <cell r="B48" t="str">
            <v>MY</v>
          </cell>
          <cell r="D48">
            <v>1159.364</v>
          </cell>
          <cell r="E48">
            <v>2764.9670000000001</v>
          </cell>
          <cell r="F48">
            <v>7.6</v>
          </cell>
          <cell r="G48">
            <v>3931.931</v>
          </cell>
          <cell r="H48">
            <v>616.4</v>
          </cell>
          <cell r="I48">
            <v>97</v>
          </cell>
          <cell r="J48">
            <v>194.83600000000001</v>
          </cell>
          <cell r="K48">
            <v>908.23599999999999</v>
          </cell>
          <cell r="L48">
            <v>1508.6320000000001</v>
          </cell>
          <cell r="M48">
            <v>2416.8679999999999</v>
          </cell>
          <cell r="N48">
            <v>1515.0630000000001</v>
          </cell>
        </row>
        <row r="49">
          <cell r="B49" t="str">
            <v/>
          </cell>
        </row>
        <row r="50">
          <cell r="A50" t="str">
            <v>1983/84</v>
          </cell>
          <cell r="B50" t="str">
            <v>Q1</v>
          </cell>
          <cell r="D50">
            <v>1515.0630000000001</v>
          </cell>
          <cell r="E50">
            <v>2419.8240000000001</v>
          </cell>
          <cell r="F50">
            <v>0.69899999999999995</v>
          </cell>
          <cell r="G50">
            <v>3935.5859999999998</v>
          </cell>
          <cell r="H50">
            <v>158.69999999999999</v>
          </cell>
          <cell r="I50">
            <v>1</v>
          </cell>
          <cell r="J50">
            <v>196.09100000000001</v>
          </cell>
          <cell r="K50">
            <v>355.791</v>
          </cell>
          <cell r="L50">
            <v>346.69499999999999</v>
          </cell>
          <cell r="M50">
            <v>702.48599999999999</v>
          </cell>
          <cell r="N50">
            <v>3233.1</v>
          </cell>
        </row>
        <row r="51">
          <cell r="A51" t="str">
            <v>1983/84</v>
          </cell>
          <cell r="B51" t="str">
            <v>Q2</v>
          </cell>
          <cell r="D51">
            <v>3233.1</v>
          </cell>
          <cell r="E51" t="str">
            <v>--</v>
          </cell>
          <cell r="F51">
            <v>0.93</v>
          </cell>
          <cell r="G51">
            <v>3234.03</v>
          </cell>
          <cell r="H51">
            <v>163.1</v>
          </cell>
          <cell r="I51">
            <v>75</v>
          </cell>
          <cell r="J51">
            <v>100.515</v>
          </cell>
          <cell r="K51">
            <v>338.61500000000001</v>
          </cell>
          <cell r="L51">
            <v>359.71499999999997</v>
          </cell>
          <cell r="M51">
            <v>698.33</v>
          </cell>
          <cell r="N51">
            <v>2535.6999999999998</v>
          </cell>
        </row>
        <row r="52">
          <cell r="A52" t="str">
            <v>1983/84</v>
          </cell>
          <cell r="B52" t="str">
            <v>Q3</v>
          </cell>
          <cell r="D52">
            <v>2535.6999999999998</v>
          </cell>
          <cell r="E52" t="str">
            <v>--</v>
          </cell>
          <cell r="F52">
            <v>1.0860000000000001</v>
          </cell>
          <cell r="G52">
            <v>2536.7860000000001</v>
          </cell>
          <cell r="H52">
            <v>166.8</v>
          </cell>
          <cell r="I52">
            <v>3</v>
          </cell>
          <cell r="J52">
            <v>48.341999999999999</v>
          </cell>
          <cell r="K52">
            <v>218.142</v>
          </cell>
          <cell r="L52">
            <v>367.14400000000001</v>
          </cell>
          <cell r="M52">
            <v>585.28599999999994</v>
          </cell>
          <cell r="N52">
            <v>1951.5</v>
          </cell>
        </row>
        <row r="53">
          <cell r="A53" t="str">
            <v>1983/84</v>
          </cell>
          <cell r="B53" t="str">
            <v>Q4</v>
          </cell>
          <cell r="D53">
            <v>1951.5</v>
          </cell>
          <cell r="E53" t="str">
            <v>--</v>
          </cell>
          <cell r="F53">
            <v>1.125</v>
          </cell>
          <cell r="G53">
            <v>1952.625</v>
          </cell>
          <cell r="H53">
            <v>154</v>
          </cell>
          <cell r="I53">
            <v>21</v>
          </cell>
          <cell r="J53">
            <v>26.155000000000001</v>
          </cell>
          <cell r="K53">
            <v>201.155</v>
          </cell>
          <cell r="L53">
            <v>352.82400000000001</v>
          </cell>
          <cell r="M53">
            <v>553.97900000000004</v>
          </cell>
          <cell r="N53">
            <v>1398.646</v>
          </cell>
        </row>
        <row r="54">
          <cell r="A54" t="str">
            <v>1983/84</v>
          </cell>
          <cell r="B54" t="str">
            <v>MY</v>
          </cell>
          <cell r="D54">
            <v>1515.0630000000001</v>
          </cell>
          <cell r="E54">
            <v>2419.8240000000001</v>
          </cell>
          <cell r="F54">
            <v>3.84</v>
          </cell>
          <cell r="G54">
            <v>3938.7269999999999</v>
          </cell>
          <cell r="H54">
            <v>642.6</v>
          </cell>
          <cell r="I54">
            <v>100</v>
          </cell>
          <cell r="J54">
            <v>371.10300000000001</v>
          </cell>
          <cell r="K54">
            <v>1113.703</v>
          </cell>
          <cell r="L54">
            <v>1426.3779999999999</v>
          </cell>
          <cell r="M54">
            <v>2540.0810000000001</v>
          </cell>
          <cell r="N54">
            <v>1398.646</v>
          </cell>
        </row>
        <row r="55">
          <cell r="B55" t="str">
            <v/>
          </cell>
        </row>
        <row r="56">
          <cell r="A56" t="str">
            <v>1984/85</v>
          </cell>
          <cell r="B56" t="str">
            <v>Q1</v>
          </cell>
          <cell r="D56">
            <v>1398.646</v>
          </cell>
          <cell r="E56">
            <v>2594.777</v>
          </cell>
          <cell r="F56">
            <v>3.8039999999999998</v>
          </cell>
          <cell r="G56">
            <v>3997.2269999999999</v>
          </cell>
          <cell r="H56">
            <v>157.80000000000001</v>
          </cell>
          <cell r="I56">
            <v>1</v>
          </cell>
          <cell r="J56">
            <v>279.661</v>
          </cell>
          <cell r="K56">
            <v>438.46100000000001</v>
          </cell>
          <cell r="L56">
            <v>398.666</v>
          </cell>
          <cell r="M56">
            <v>837.12699999999995</v>
          </cell>
          <cell r="N56">
            <v>3160.1</v>
          </cell>
        </row>
        <row r="57">
          <cell r="A57" t="str">
            <v>1984/85</v>
          </cell>
          <cell r="B57" t="str">
            <v>Q2</v>
          </cell>
          <cell r="D57">
            <v>3160.1</v>
          </cell>
          <cell r="E57" t="str">
            <v>--</v>
          </cell>
          <cell r="F57">
            <v>2.1909999999999998</v>
          </cell>
          <cell r="G57">
            <v>3162.2910000000002</v>
          </cell>
          <cell r="H57">
            <v>168.5</v>
          </cell>
          <cell r="I57">
            <v>69</v>
          </cell>
          <cell r="J57">
            <v>101.506</v>
          </cell>
          <cell r="K57">
            <v>339.00599999999997</v>
          </cell>
          <cell r="L57">
            <v>484.78500000000003</v>
          </cell>
          <cell r="M57">
            <v>823.79100000000005</v>
          </cell>
          <cell r="N57">
            <v>2338.5</v>
          </cell>
        </row>
        <row r="58">
          <cell r="A58" t="str">
            <v>1984/85</v>
          </cell>
          <cell r="B58" t="str">
            <v>Q3</v>
          </cell>
          <cell r="D58">
            <v>2338.5</v>
          </cell>
          <cell r="E58" t="str">
            <v>--</v>
          </cell>
          <cell r="F58">
            <v>1.119</v>
          </cell>
          <cell r="G58">
            <v>2339.6190000000001</v>
          </cell>
          <cell r="H58">
            <v>164.2</v>
          </cell>
          <cell r="I58">
            <v>4</v>
          </cell>
          <cell r="J58">
            <v>35.534999999999997</v>
          </cell>
          <cell r="K58">
            <v>203.73500000000001</v>
          </cell>
          <cell r="L58">
            <v>335.084</v>
          </cell>
          <cell r="M58">
            <v>538.81899999999996</v>
          </cell>
          <cell r="N58">
            <v>1800.8</v>
          </cell>
        </row>
        <row r="59">
          <cell r="A59" t="str">
            <v>1984/85</v>
          </cell>
          <cell r="B59" t="str">
            <v>Q4</v>
          </cell>
          <cell r="D59">
            <v>1800.8</v>
          </cell>
          <cell r="E59" t="str">
            <v>--</v>
          </cell>
          <cell r="F59">
            <v>2.3260000000000001</v>
          </cell>
          <cell r="G59">
            <v>1803.126</v>
          </cell>
          <cell r="H59">
            <v>160.5</v>
          </cell>
          <cell r="I59">
            <v>24</v>
          </cell>
          <cell r="J59">
            <v>-9.5210000000000008</v>
          </cell>
          <cell r="K59">
            <v>174.97900000000001</v>
          </cell>
          <cell r="L59">
            <v>202.90700000000001</v>
          </cell>
          <cell r="M59">
            <v>377.88600000000002</v>
          </cell>
          <cell r="N59">
            <v>1425.24</v>
          </cell>
        </row>
        <row r="60">
          <cell r="A60" t="str">
            <v>1984/85</v>
          </cell>
          <cell r="B60" t="str">
            <v>MY</v>
          </cell>
          <cell r="D60">
            <v>1398.646</v>
          </cell>
          <cell r="E60">
            <v>2594.777</v>
          </cell>
          <cell r="F60">
            <v>9.44</v>
          </cell>
          <cell r="G60">
            <v>4002.8629999999998</v>
          </cell>
          <cell r="H60">
            <v>651</v>
          </cell>
          <cell r="I60">
            <v>98</v>
          </cell>
          <cell r="J60">
            <v>407.18099999999998</v>
          </cell>
          <cell r="K60">
            <v>1156.181</v>
          </cell>
          <cell r="L60">
            <v>1421.442</v>
          </cell>
          <cell r="M60">
            <v>2577.623</v>
          </cell>
          <cell r="N60">
            <v>1425.24</v>
          </cell>
        </row>
        <row r="61">
          <cell r="B61" t="str">
            <v/>
          </cell>
        </row>
        <row r="62">
          <cell r="A62" t="str">
            <v>1985/86</v>
          </cell>
          <cell r="B62" t="str">
            <v>Q1</v>
          </cell>
          <cell r="D62">
            <v>1425.24</v>
          </cell>
          <cell r="E62">
            <v>2424.1149999999998</v>
          </cell>
          <cell r="F62">
            <v>5.0679999999999996</v>
          </cell>
          <cell r="G62">
            <v>3854.4229999999998</v>
          </cell>
          <cell r="H62">
            <v>165.83</v>
          </cell>
          <cell r="I62">
            <v>1</v>
          </cell>
          <cell r="J62">
            <v>235.46199999999999</v>
          </cell>
          <cell r="K62">
            <v>402.29199999999997</v>
          </cell>
          <cell r="L62">
            <v>248.631</v>
          </cell>
          <cell r="M62">
            <v>650.923</v>
          </cell>
          <cell r="N62">
            <v>3203.5</v>
          </cell>
        </row>
        <row r="63">
          <cell r="A63" t="str">
            <v>1985/86</v>
          </cell>
          <cell r="B63" t="str">
            <v>Q2</v>
          </cell>
          <cell r="D63">
            <v>3203.5</v>
          </cell>
          <cell r="E63" t="str">
            <v>--</v>
          </cell>
          <cell r="F63">
            <v>5.0659999999999998</v>
          </cell>
          <cell r="G63">
            <v>3208.5659999999998</v>
          </cell>
          <cell r="H63">
            <v>185.57</v>
          </cell>
          <cell r="I63">
            <v>63</v>
          </cell>
          <cell r="J63">
            <v>65.867000000000004</v>
          </cell>
          <cell r="K63">
            <v>314.43700000000001</v>
          </cell>
          <cell r="L63">
            <v>250.72900000000001</v>
          </cell>
          <cell r="M63">
            <v>565.16600000000005</v>
          </cell>
          <cell r="N63">
            <v>2643.4</v>
          </cell>
        </row>
        <row r="64">
          <cell r="A64" t="str">
            <v>1985/86</v>
          </cell>
          <cell r="B64" t="str">
            <v>Q3</v>
          </cell>
          <cell r="D64">
            <v>2643.4</v>
          </cell>
          <cell r="E64" t="str">
            <v>--</v>
          </cell>
          <cell r="F64">
            <v>2.6920000000000002</v>
          </cell>
          <cell r="G64">
            <v>2646.0920000000001</v>
          </cell>
          <cell r="H64">
            <v>162.16</v>
          </cell>
          <cell r="I64">
            <v>4</v>
          </cell>
          <cell r="J64">
            <v>1.7929999999999999</v>
          </cell>
          <cell r="K64">
            <v>167.953</v>
          </cell>
          <cell r="L64">
            <v>222.339</v>
          </cell>
          <cell r="M64">
            <v>390.29199999999997</v>
          </cell>
          <cell r="N64">
            <v>2255.8000000000002</v>
          </cell>
        </row>
        <row r="65">
          <cell r="A65" t="str">
            <v>1985/86</v>
          </cell>
          <cell r="B65" t="str">
            <v>Q4</v>
          </cell>
          <cell r="D65">
            <v>2255.8000000000002</v>
          </cell>
          <cell r="E65" t="str">
            <v>--</v>
          </cell>
          <cell r="F65">
            <v>3.46</v>
          </cell>
          <cell r="G65">
            <v>2259.2600000000002</v>
          </cell>
          <cell r="H65">
            <v>160.76</v>
          </cell>
          <cell r="I65">
            <v>25</v>
          </cell>
          <cell r="J65">
            <v>-18.913</v>
          </cell>
          <cell r="K65">
            <v>166.84700000000001</v>
          </cell>
          <cell r="L65">
            <v>187.43199999999999</v>
          </cell>
          <cell r="M65">
            <v>354.279</v>
          </cell>
          <cell r="N65">
            <v>1904.981</v>
          </cell>
        </row>
        <row r="66">
          <cell r="A66" t="str">
            <v>1985/86</v>
          </cell>
          <cell r="B66" t="str">
            <v>MY</v>
          </cell>
          <cell r="D66">
            <v>1425.24</v>
          </cell>
          <cell r="E66">
            <v>2424.1149999999998</v>
          </cell>
          <cell r="F66">
            <v>16.286000000000001</v>
          </cell>
          <cell r="G66">
            <v>3865.6410000000001</v>
          </cell>
          <cell r="H66">
            <v>674.32</v>
          </cell>
          <cell r="I66">
            <v>93</v>
          </cell>
          <cell r="J66">
            <v>284.209</v>
          </cell>
          <cell r="K66">
            <v>1051.529</v>
          </cell>
          <cell r="L66">
            <v>909.13099999999997</v>
          </cell>
          <cell r="M66">
            <v>1960.66</v>
          </cell>
          <cell r="N66">
            <v>1904.981</v>
          </cell>
        </row>
        <row r="67">
          <cell r="B67" t="str">
            <v/>
          </cell>
        </row>
        <row r="68">
          <cell r="A68" t="str">
            <v>1986/87</v>
          </cell>
          <cell r="B68" t="str">
            <v>Q1</v>
          </cell>
          <cell r="D68">
            <v>1904.981</v>
          </cell>
          <cell r="E68">
            <v>2090.5700000000002</v>
          </cell>
          <cell r="F68">
            <v>4.3010000000000002</v>
          </cell>
          <cell r="G68">
            <v>3999.8519999999999</v>
          </cell>
          <cell r="H68">
            <v>171.17400000000001</v>
          </cell>
          <cell r="I68">
            <v>1</v>
          </cell>
          <cell r="J68">
            <v>352.27</v>
          </cell>
          <cell r="K68">
            <v>524.44399999999996</v>
          </cell>
          <cell r="L68">
            <v>318.90300000000002</v>
          </cell>
          <cell r="M68">
            <v>843.34699999999998</v>
          </cell>
          <cell r="N68">
            <v>3156.5050000000001</v>
          </cell>
        </row>
        <row r="69">
          <cell r="A69" t="str">
            <v>1986/87</v>
          </cell>
          <cell r="B69" t="str">
            <v>Q2</v>
          </cell>
          <cell r="D69">
            <v>3156.5050000000001</v>
          </cell>
          <cell r="E69" t="str">
            <v>--</v>
          </cell>
          <cell r="F69">
            <v>3.6389999999999998</v>
          </cell>
          <cell r="G69">
            <v>3160.1439999999998</v>
          </cell>
          <cell r="H69">
            <v>192.78299999999999</v>
          </cell>
          <cell r="I69">
            <v>57</v>
          </cell>
          <cell r="J69">
            <v>-20.792000000000002</v>
          </cell>
          <cell r="K69">
            <v>228.99100000000001</v>
          </cell>
          <cell r="L69">
            <v>257.66300000000001</v>
          </cell>
          <cell r="M69">
            <v>486.654</v>
          </cell>
          <cell r="N69">
            <v>2673.49</v>
          </cell>
        </row>
        <row r="70">
          <cell r="A70" t="str">
            <v>1986/87</v>
          </cell>
          <cell r="B70" t="str">
            <v>Q3</v>
          </cell>
          <cell r="D70">
            <v>2673.49</v>
          </cell>
          <cell r="E70" t="str">
            <v>--</v>
          </cell>
          <cell r="F70">
            <v>6.0229999999999997</v>
          </cell>
          <cell r="G70">
            <v>2679.5129999999999</v>
          </cell>
          <cell r="H70">
            <v>171.66800000000001</v>
          </cell>
          <cell r="I70">
            <v>3</v>
          </cell>
          <cell r="J70">
            <v>48.741</v>
          </cell>
          <cell r="K70">
            <v>223.40899999999999</v>
          </cell>
          <cell r="L70">
            <v>205.67400000000001</v>
          </cell>
          <cell r="M70">
            <v>429.08300000000003</v>
          </cell>
          <cell r="N70">
            <v>2250.4299999999998</v>
          </cell>
        </row>
        <row r="71">
          <cell r="A71" t="str">
            <v>1986/87</v>
          </cell>
          <cell r="B71" t="str">
            <v>Q4</v>
          </cell>
          <cell r="D71">
            <v>2250.4299999999998</v>
          </cell>
          <cell r="E71" t="str">
            <v>--</v>
          </cell>
          <cell r="F71">
            <v>7.2869999999999999</v>
          </cell>
          <cell r="G71">
            <v>2257.7170000000001</v>
          </cell>
          <cell r="H71">
            <v>176.59299999999999</v>
          </cell>
          <cell r="I71">
            <v>23</v>
          </cell>
          <cell r="J71">
            <v>20.95</v>
          </cell>
          <cell r="K71">
            <v>220.54300000000001</v>
          </cell>
          <cell r="L71">
            <v>216.27</v>
          </cell>
          <cell r="M71">
            <v>436.81299999999999</v>
          </cell>
          <cell r="N71">
            <v>1820.904</v>
          </cell>
        </row>
        <row r="72">
          <cell r="A72" t="str">
            <v>1986/87</v>
          </cell>
          <cell r="B72" t="str">
            <v>MY</v>
          </cell>
          <cell r="D72">
            <v>1904.981</v>
          </cell>
          <cell r="E72">
            <v>2090.5700000000002</v>
          </cell>
          <cell r="F72">
            <v>21.25</v>
          </cell>
          <cell r="G72">
            <v>4016.8009999999999</v>
          </cell>
          <cell r="H72">
            <v>712.21799999999996</v>
          </cell>
          <cell r="I72">
            <v>84</v>
          </cell>
          <cell r="J72">
            <v>401.16899999999998</v>
          </cell>
          <cell r="K72">
            <v>1197.3869999999999</v>
          </cell>
          <cell r="L72">
            <v>998.51</v>
          </cell>
          <cell r="M72">
            <v>2195.8969999999999</v>
          </cell>
          <cell r="N72">
            <v>1820.904</v>
          </cell>
        </row>
        <row r="73">
          <cell r="B73" t="str">
            <v/>
          </cell>
        </row>
        <row r="74">
          <cell r="A74" t="str">
            <v>1987/88</v>
          </cell>
          <cell r="B74" t="str">
            <v>Q1</v>
          </cell>
          <cell r="D74">
            <v>1820.904</v>
          </cell>
          <cell r="E74">
            <v>2107.6849999999999</v>
          </cell>
          <cell r="F74">
            <v>2.7080000000000002</v>
          </cell>
          <cell r="G74">
            <v>3931.297</v>
          </cell>
          <cell r="H74">
            <v>181.03</v>
          </cell>
          <cell r="I74">
            <v>1</v>
          </cell>
          <cell r="J74">
            <v>363.80500000000001</v>
          </cell>
          <cell r="K74">
            <v>545.83500000000004</v>
          </cell>
          <cell r="L74">
            <v>409</v>
          </cell>
          <cell r="M74">
            <v>954.83500000000004</v>
          </cell>
          <cell r="N74">
            <v>2976.462</v>
          </cell>
        </row>
        <row r="75">
          <cell r="A75" t="str">
            <v>1987/88</v>
          </cell>
          <cell r="B75" t="str">
            <v>Q2</v>
          </cell>
          <cell r="D75">
            <v>2976.462</v>
          </cell>
          <cell r="E75" t="str">
            <v>--</v>
          </cell>
          <cell r="F75">
            <v>4.5250000000000004</v>
          </cell>
          <cell r="G75">
            <v>2980.9870000000001</v>
          </cell>
          <cell r="H75">
            <v>193.048</v>
          </cell>
          <cell r="I75">
            <v>58</v>
          </cell>
          <cell r="J75">
            <v>-79.081999999999994</v>
          </cell>
          <cell r="K75">
            <v>171.96600000000001</v>
          </cell>
          <cell r="L75">
            <v>308.45299999999997</v>
          </cell>
          <cell r="M75">
            <v>480.41899999999998</v>
          </cell>
          <cell r="N75">
            <v>2500.5680000000002</v>
          </cell>
        </row>
        <row r="76">
          <cell r="A76" t="str">
            <v>1987/88</v>
          </cell>
          <cell r="B76" t="str">
            <v>Q3</v>
          </cell>
          <cell r="D76">
            <v>2500.5680000000002</v>
          </cell>
          <cell r="E76" t="str">
            <v>--</v>
          </cell>
          <cell r="F76">
            <v>3.7229999999999999</v>
          </cell>
          <cell r="G76">
            <v>2504.2910000000002</v>
          </cell>
          <cell r="H76">
            <v>172.05799999999999</v>
          </cell>
          <cell r="I76">
            <v>3</v>
          </cell>
          <cell r="J76">
            <v>-7.3479999999999999</v>
          </cell>
          <cell r="K76">
            <v>167.71</v>
          </cell>
          <cell r="L76">
            <v>413.04500000000002</v>
          </cell>
          <cell r="M76">
            <v>580.755</v>
          </cell>
          <cell r="N76">
            <v>1923.5360000000001</v>
          </cell>
        </row>
        <row r="77">
          <cell r="A77" t="str">
            <v>1987/88</v>
          </cell>
          <cell r="B77" t="str">
            <v>Q4</v>
          </cell>
          <cell r="D77">
            <v>1923.5360000000001</v>
          </cell>
          <cell r="E77" t="str">
            <v>--</v>
          </cell>
          <cell r="F77">
            <v>5.1289999999999996</v>
          </cell>
          <cell r="G77">
            <v>1928.665</v>
          </cell>
          <cell r="H77">
            <v>174.60300000000001</v>
          </cell>
          <cell r="I77">
            <v>23</v>
          </cell>
          <cell r="J77">
            <v>12.839</v>
          </cell>
          <cell r="K77">
            <v>210.44200000000001</v>
          </cell>
          <cell r="L77">
            <v>457.37900000000002</v>
          </cell>
          <cell r="M77">
            <v>667.82100000000003</v>
          </cell>
          <cell r="N77">
            <v>1260.8440000000001</v>
          </cell>
        </row>
        <row r="78">
          <cell r="A78" t="str">
            <v>1987/88</v>
          </cell>
          <cell r="B78" t="str">
            <v>MY</v>
          </cell>
          <cell r="D78">
            <v>1820.904</v>
          </cell>
          <cell r="E78">
            <v>2107.6849999999999</v>
          </cell>
          <cell r="F78">
            <v>16.085000000000001</v>
          </cell>
          <cell r="G78">
            <v>3944.674</v>
          </cell>
          <cell r="H78">
            <v>720.73900000000003</v>
          </cell>
          <cell r="I78">
            <v>85</v>
          </cell>
          <cell r="J78">
            <v>290.214</v>
          </cell>
          <cell r="K78">
            <v>1095.953</v>
          </cell>
          <cell r="L78">
            <v>1587.877</v>
          </cell>
          <cell r="M78">
            <v>2683.83</v>
          </cell>
          <cell r="N78">
            <v>1260.8440000000001</v>
          </cell>
        </row>
        <row r="79">
          <cell r="B79" t="str">
            <v/>
          </cell>
        </row>
        <row r="80">
          <cell r="A80" t="str">
            <v>1988/89</v>
          </cell>
          <cell r="B80" t="str">
            <v>Q1</v>
          </cell>
          <cell r="D80">
            <v>1260.8440000000001</v>
          </cell>
          <cell r="E80">
            <v>1812.201</v>
          </cell>
          <cell r="F80">
            <v>8.5839999999999996</v>
          </cell>
          <cell r="G80">
            <v>3081.6289999999999</v>
          </cell>
          <cell r="H80">
            <v>183.27199999999999</v>
          </cell>
          <cell r="I80">
            <v>1</v>
          </cell>
          <cell r="J80">
            <v>282.17099999999999</v>
          </cell>
          <cell r="K80">
            <v>466.44299999999998</v>
          </cell>
          <cell r="L80">
            <v>361.63400000000001</v>
          </cell>
          <cell r="M80">
            <v>828.077</v>
          </cell>
          <cell r="N80">
            <v>2253.5520000000001</v>
          </cell>
        </row>
        <row r="81">
          <cell r="A81" t="str">
            <v>1988/89</v>
          </cell>
          <cell r="B81" t="str">
            <v>Q2</v>
          </cell>
          <cell r="D81">
            <v>2253.5520000000001</v>
          </cell>
          <cell r="E81" t="str">
            <v>--</v>
          </cell>
          <cell r="F81">
            <v>6.2670000000000003</v>
          </cell>
          <cell r="G81">
            <v>2259.819</v>
          </cell>
          <cell r="H81">
            <v>197.303</v>
          </cell>
          <cell r="I81">
            <v>67</v>
          </cell>
          <cell r="J81">
            <v>-49.406999999999996</v>
          </cell>
          <cell r="K81">
            <v>214.89599999999999</v>
          </cell>
          <cell r="L81">
            <v>329.02100000000002</v>
          </cell>
          <cell r="M81">
            <v>543.91700000000003</v>
          </cell>
          <cell r="N81">
            <v>1715.902</v>
          </cell>
        </row>
        <row r="82">
          <cell r="A82" t="str">
            <v>1988/89</v>
          </cell>
          <cell r="B82" t="str">
            <v>Q3</v>
          </cell>
          <cell r="D82">
            <v>1715.902</v>
          </cell>
          <cell r="E82" t="str">
            <v>--</v>
          </cell>
          <cell r="F82">
            <v>3.6619999999999999</v>
          </cell>
          <cell r="G82">
            <v>1719.5640000000001</v>
          </cell>
          <cell r="H82">
            <v>173.4</v>
          </cell>
          <cell r="I82">
            <v>3</v>
          </cell>
          <cell r="J82">
            <v>-44.505000000000003</v>
          </cell>
          <cell r="K82">
            <v>131.89500000000001</v>
          </cell>
          <cell r="L82">
            <v>359.95800000000003</v>
          </cell>
          <cell r="M82">
            <v>491.85300000000001</v>
          </cell>
          <cell r="N82">
            <v>1227.711</v>
          </cell>
        </row>
        <row r="83">
          <cell r="A83" t="str">
            <v>1988/89</v>
          </cell>
          <cell r="B83" t="str">
            <v>Q4</v>
          </cell>
          <cell r="D83">
            <v>1227.711</v>
          </cell>
          <cell r="E83" t="str">
            <v>--</v>
          </cell>
          <cell r="F83">
            <v>4.1559999999999997</v>
          </cell>
          <cell r="G83">
            <v>1231.867</v>
          </cell>
          <cell r="H83">
            <v>171.8</v>
          </cell>
          <cell r="I83">
            <v>32</v>
          </cell>
          <cell r="J83">
            <v>-37.799999999999997</v>
          </cell>
          <cell r="K83">
            <v>166</v>
          </cell>
          <cell r="L83">
            <v>364.24099999999999</v>
          </cell>
          <cell r="M83">
            <v>530.24099999999999</v>
          </cell>
          <cell r="N83">
            <v>701.62599999999998</v>
          </cell>
        </row>
        <row r="84">
          <cell r="A84" t="str">
            <v>1988/89</v>
          </cell>
          <cell r="B84" t="str">
            <v>MY</v>
          </cell>
          <cell r="D84">
            <v>1260.8440000000001</v>
          </cell>
          <cell r="E84">
            <v>1812.201</v>
          </cell>
          <cell r="F84">
            <v>22.669</v>
          </cell>
          <cell r="G84">
            <v>3095.7139999999999</v>
          </cell>
          <cell r="H84">
            <v>725.77499999999998</v>
          </cell>
          <cell r="I84">
            <v>103</v>
          </cell>
          <cell r="J84">
            <v>150.459</v>
          </cell>
          <cell r="K84">
            <v>979.23400000000004</v>
          </cell>
          <cell r="L84">
            <v>1414.854</v>
          </cell>
          <cell r="M84">
            <v>2394.0880000000002</v>
          </cell>
          <cell r="N84">
            <v>701.62599999999998</v>
          </cell>
        </row>
        <row r="85">
          <cell r="B85" t="str">
            <v/>
          </cell>
        </row>
        <row r="86">
          <cell r="A86" t="str">
            <v>1989/90</v>
          </cell>
          <cell r="B86" t="str">
            <v>Q1</v>
          </cell>
          <cell r="D86">
            <v>701.62599999999998</v>
          </cell>
          <cell r="E86">
            <v>2036.6179999999999</v>
          </cell>
          <cell r="F86">
            <v>5.8689999999999998</v>
          </cell>
          <cell r="G86">
            <v>2744.1129999999998</v>
          </cell>
          <cell r="H86">
            <v>190.703</v>
          </cell>
          <cell r="I86">
            <v>1.734</v>
          </cell>
          <cell r="J86">
            <v>264.93</v>
          </cell>
          <cell r="K86">
            <v>457.36700000000002</v>
          </cell>
          <cell r="L86">
            <v>368.7</v>
          </cell>
          <cell r="M86">
            <v>826.06700000000001</v>
          </cell>
          <cell r="N86">
            <v>1918.046</v>
          </cell>
        </row>
        <row r="87">
          <cell r="A87" t="str">
            <v>1989/90</v>
          </cell>
          <cell r="B87" t="str">
            <v>Q2</v>
          </cell>
          <cell r="D87">
            <v>1918.046</v>
          </cell>
          <cell r="E87" t="str">
            <v>--</v>
          </cell>
          <cell r="F87">
            <v>7.1059999999999999</v>
          </cell>
          <cell r="G87">
            <v>1925.152</v>
          </cell>
          <cell r="H87">
            <v>191.65600000000001</v>
          </cell>
          <cell r="I87">
            <v>70.257000000000005</v>
          </cell>
          <cell r="J87">
            <v>-87.837000000000003</v>
          </cell>
          <cell r="K87">
            <v>174.07599999999999</v>
          </cell>
          <cell r="L87">
            <v>328.58600000000001</v>
          </cell>
          <cell r="M87">
            <v>502.66199999999998</v>
          </cell>
          <cell r="N87">
            <v>1422.49</v>
          </cell>
        </row>
        <row r="88">
          <cell r="A88" t="str">
            <v>1989/90</v>
          </cell>
          <cell r="B88" t="str">
            <v>Q3</v>
          </cell>
          <cell r="D88">
            <v>1422.49</v>
          </cell>
          <cell r="E88" t="str">
            <v>--</v>
          </cell>
          <cell r="F88">
            <v>4.6520000000000001</v>
          </cell>
          <cell r="G88">
            <v>1427.1420000000001</v>
          </cell>
          <cell r="H88">
            <v>184.31800000000001</v>
          </cell>
          <cell r="I88">
            <v>2.68</v>
          </cell>
          <cell r="J88">
            <v>37.426000000000002</v>
          </cell>
          <cell r="K88">
            <v>224.42400000000001</v>
          </cell>
          <cell r="L88">
            <v>259.60899999999998</v>
          </cell>
          <cell r="M88">
            <v>484.03300000000002</v>
          </cell>
          <cell r="N88">
            <v>943.10900000000004</v>
          </cell>
        </row>
        <row r="89">
          <cell r="A89" t="str">
            <v>1989/90</v>
          </cell>
          <cell r="B89" t="str">
            <v>Q4</v>
          </cell>
          <cell r="D89">
            <v>943.10900000000004</v>
          </cell>
          <cell r="E89" t="str">
            <v>--</v>
          </cell>
          <cell r="F89">
            <v>4.84</v>
          </cell>
          <cell r="G89">
            <v>947.94899999999996</v>
          </cell>
          <cell r="H89">
            <v>182.24100000000001</v>
          </cell>
          <cell r="I89">
            <v>29.606999999999999</v>
          </cell>
          <cell r="J89">
            <v>-75.417000000000002</v>
          </cell>
          <cell r="K89">
            <v>136.43100000000001</v>
          </cell>
          <cell r="L89">
            <v>275.06299999999999</v>
          </cell>
          <cell r="M89">
            <v>411.49400000000003</v>
          </cell>
          <cell r="N89">
            <v>536.45500000000004</v>
          </cell>
        </row>
        <row r="90">
          <cell r="A90" t="str">
            <v>1989/90</v>
          </cell>
          <cell r="B90" t="str">
            <v>MY</v>
          </cell>
          <cell r="D90">
            <v>701.62599999999998</v>
          </cell>
          <cell r="E90">
            <v>2036.6179999999999</v>
          </cell>
          <cell r="F90">
            <v>22.466999999999999</v>
          </cell>
          <cell r="G90">
            <v>2760.7109999999998</v>
          </cell>
          <cell r="H90">
            <v>748.91800000000001</v>
          </cell>
          <cell r="I90">
            <v>104.27800000000001</v>
          </cell>
          <cell r="J90">
            <v>139.102</v>
          </cell>
          <cell r="K90">
            <v>992.298</v>
          </cell>
          <cell r="L90">
            <v>1231.9580000000001</v>
          </cell>
          <cell r="M90">
            <v>2224.2559999999999</v>
          </cell>
          <cell r="N90">
            <v>536.45500000000004</v>
          </cell>
        </row>
        <row r="91">
          <cell r="B91" t="str">
            <v/>
          </cell>
        </row>
        <row r="92">
          <cell r="A92" t="str">
            <v>1990/91</v>
          </cell>
          <cell r="B92" t="str">
            <v>Q1</v>
          </cell>
          <cell r="D92">
            <v>536.45500000000004</v>
          </cell>
          <cell r="E92">
            <v>2729.7779999999998</v>
          </cell>
          <cell r="F92">
            <v>7.9980000000000002</v>
          </cell>
          <cell r="G92">
            <v>3274.2310000000002</v>
          </cell>
          <cell r="H92">
            <v>194.07</v>
          </cell>
          <cell r="I92">
            <v>1.659</v>
          </cell>
          <cell r="J92">
            <v>399.72300000000001</v>
          </cell>
          <cell r="K92">
            <v>595.452</v>
          </cell>
          <cell r="L92">
            <v>267.69099999999997</v>
          </cell>
          <cell r="M92">
            <v>863.14300000000003</v>
          </cell>
          <cell r="N92">
            <v>2411.0880000000002</v>
          </cell>
        </row>
        <row r="93">
          <cell r="A93" t="str">
            <v>1990/91</v>
          </cell>
          <cell r="B93" t="str">
            <v>Q2</v>
          </cell>
          <cell r="D93">
            <v>2411.0880000000002</v>
          </cell>
          <cell r="E93" t="str">
            <v>--</v>
          </cell>
          <cell r="F93">
            <v>13.388999999999999</v>
          </cell>
          <cell r="G93">
            <v>2424.4769999999999</v>
          </cell>
          <cell r="H93">
            <v>210.607</v>
          </cell>
          <cell r="I93">
            <v>62.869</v>
          </cell>
          <cell r="J93">
            <v>-38.308</v>
          </cell>
          <cell r="K93">
            <v>235.16800000000001</v>
          </cell>
          <cell r="L93">
            <v>279.375</v>
          </cell>
          <cell r="M93">
            <v>514.54300000000001</v>
          </cell>
          <cell r="N93">
            <v>1909.934</v>
          </cell>
        </row>
        <row r="94">
          <cell r="A94" t="str">
            <v>1990/91</v>
          </cell>
          <cell r="B94" t="str">
            <v>Q3</v>
          </cell>
          <cell r="D94">
            <v>1909.934</v>
          </cell>
          <cell r="E94" t="str">
            <v>--</v>
          </cell>
          <cell r="F94">
            <v>7.7809999999999997</v>
          </cell>
          <cell r="G94">
            <v>1917.7149999999999</v>
          </cell>
          <cell r="H94">
            <v>190.99700000000001</v>
          </cell>
          <cell r="I94">
            <v>2.0659999999999998</v>
          </cell>
          <cell r="J94">
            <v>101.492</v>
          </cell>
          <cell r="K94">
            <v>294.55500000000001</v>
          </cell>
          <cell r="L94">
            <v>225.47900000000001</v>
          </cell>
          <cell r="M94">
            <v>520.03399999999999</v>
          </cell>
          <cell r="N94">
            <v>1397.681</v>
          </cell>
        </row>
        <row r="95">
          <cell r="A95" t="str">
            <v>1990/91</v>
          </cell>
          <cell r="B95" t="str">
            <v>Q4</v>
          </cell>
          <cell r="D95">
            <v>1397.681</v>
          </cell>
          <cell r="E95" t="str">
            <v>--</v>
          </cell>
          <cell r="F95">
            <v>7.2389999999999999</v>
          </cell>
          <cell r="G95">
            <v>1404.92</v>
          </cell>
          <cell r="H95">
            <v>194.12299999999999</v>
          </cell>
          <cell r="I95">
            <v>26.266999999999999</v>
          </cell>
          <cell r="J95">
            <v>19.489000000000001</v>
          </cell>
          <cell r="K95">
            <v>239.87899999999999</v>
          </cell>
          <cell r="L95">
            <v>296.90699999999998</v>
          </cell>
          <cell r="M95">
            <v>536.78599999999994</v>
          </cell>
          <cell r="N95">
            <v>868.13400000000001</v>
          </cell>
        </row>
        <row r="96">
          <cell r="A96" t="str">
            <v>1990/91</v>
          </cell>
          <cell r="B96" t="str">
            <v>MY</v>
          </cell>
          <cell r="D96">
            <v>536.45500000000004</v>
          </cell>
          <cell r="E96">
            <v>2729.7779999999998</v>
          </cell>
          <cell r="F96">
            <v>36.406999999999996</v>
          </cell>
          <cell r="G96">
            <v>3302.64</v>
          </cell>
          <cell r="H96">
            <v>789.79700000000003</v>
          </cell>
          <cell r="I96">
            <v>92.861000000000004</v>
          </cell>
          <cell r="J96">
            <v>482.39600000000002</v>
          </cell>
          <cell r="K96">
            <v>1365.0540000000001</v>
          </cell>
          <cell r="L96">
            <v>1069.452</v>
          </cell>
          <cell r="M96">
            <v>2434.5059999999999</v>
          </cell>
          <cell r="N96">
            <v>868.13400000000001</v>
          </cell>
        </row>
        <row r="97">
          <cell r="B97" t="str">
            <v/>
          </cell>
        </row>
        <row r="98">
          <cell r="A98" t="str">
            <v>1991/92</v>
          </cell>
          <cell r="B98" t="str">
            <v>Q1</v>
          </cell>
          <cell r="D98">
            <v>868.13400000000001</v>
          </cell>
          <cell r="E98">
            <v>1980.1389999999999</v>
          </cell>
          <cell r="F98">
            <v>7.8109999999999999</v>
          </cell>
          <cell r="G98">
            <v>2856.0839999999998</v>
          </cell>
          <cell r="H98">
            <v>189.35400000000001</v>
          </cell>
          <cell r="I98">
            <v>1.165</v>
          </cell>
          <cell r="J98">
            <v>359.12799999999999</v>
          </cell>
          <cell r="K98">
            <v>549.64700000000005</v>
          </cell>
          <cell r="L98">
            <v>251.70099999999999</v>
          </cell>
          <cell r="M98">
            <v>801.34799999999996</v>
          </cell>
          <cell r="N98">
            <v>2054.7359999999999</v>
          </cell>
        </row>
        <row r="99">
          <cell r="A99" t="str">
            <v>1991/92</v>
          </cell>
          <cell r="B99" t="str">
            <v>Q2</v>
          </cell>
          <cell r="D99">
            <v>2054.7359999999999</v>
          </cell>
          <cell r="E99" t="str">
            <v>--</v>
          </cell>
          <cell r="F99">
            <v>7.2889999999999997</v>
          </cell>
          <cell r="G99">
            <v>2062.0250000000001</v>
          </cell>
          <cell r="H99">
            <v>213.001</v>
          </cell>
          <cell r="I99">
            <v>62.222999999999999</v>
          </cell>
          <cell r="J99">
            <v>-26.925999999999998</v>
          </cell>
          <cell r="K99">
            <v>248.298</v>
          </cell>
          <cell r="L99">
            <v>365.92700000000002</v>
          </cell>
          <cell r="M99">
            <v>614.22500000000002</v>
          </cell>
          <cell r="N99">
            <v>1447.8</v>
          </cell>
        </row>
        <row r="100">
          <cell r="A100" t="str">
            <v>1991/92</v>
          </cell>
          <cell r="B100" t="str">
            <v>Q3</v>
          </cell>
          <cell r="D100">
            <v>1447.8</v>
          </cell>
          <cell r="E100" t="str">
            <v>--</v>
          </cell>
          <cell r="F100">
            <v>10.659000000000001</v>
          </cell>
          <cell r="G100">
            <v>1458.4590000000001</v>
          </cell>
          <cell r="H100">
            <v>192.88900000000001</v>
          </cell>
          <cell r="I100">
            <v>2.4119999999999999</v>
          </cell>
          <cell r="J100">
            <v>-0.48599999999999999</v>
          </cell>
          <cell r="K100">
            <v>194.815</v>
          </cell>
          <cell r="L100">
            <v>371.66899999999998</v>
          </cell>
          <cell r="M100">
            <v>566.48400000000004</v>
          </cell>
          <cell r="N100">
            <v>891.97500000000002</v>
          </cell>
        </row>
        <row r="101">
          <cell r="A101" t="str">
            <v>1991/92</v>
          </cell>
          <cell r="B101" t="str">
            <v>Q4</v>
          </cell>
          <cell r="D101">
            <v>891.97500000000002</v>
          </cell>
          <cell r="E101" t="str">
            <v>--</v>
          </cell>
          <cell r="F101">
            <v>14.935</v>
          </cell>
          <cell r="G101">
            <v>906.91</v>
          </cell>
          <cell r="H101">
            <v>194.23500000000001</v>
          </cell>
          <cell r="I101">
            <v>31.904</v>
          </cell>
          <cell r="J101">
            <v>-87.257999999999996</v>
          </cell>
          <cell r="K101">
            <v>138.881</v>
          </cell>
          <cell r="L101">
            <v>293.00799999999998</v>
          </cell>
          <cell r="M101">
            <v>431.88900000000001</v>
          </cell>
          <cell r="N101">
            <v>475.02100000000002</v>
          </cell>
        </row>
        <row r="102">
          <cell r="A102" t="str">
            <v>1991/92</v>
          </cell>
          <cell r="B102" t="str">
            <v>MY</v>
          </cell>
          <cell r="D102">
            <v>868.13400000000001</v>
          </cell>
          <cell r="E102">
            <v>1980.1389999999999</v>
          </cell>
          <cell r="F102">
            <v>40.694000000000003</v>
          </cell>
          <cell r="G102">
            <v>2888.9670000000001</v>
          </cell>
          <cell r="H102">
            <v>789.47900000000004</v>
          </cell>
          <cell r="I102">
            <v>97.703999999999994</v>
          </cell>
          <cell r="J102">
            <v>244.458</v>
          </cell>
          <cell r="K102">
            <v>1131.6410000000001</v>
          </cell>
          <cell r="L102">
            <v>1282.3050000000001</v>
          </cell>
          <cell r="M102">
            <v>2413.9459999999999</v>
          </cell>
          <cell r="N102">
            <v>475.02100000000002</v>
          </cell>
        </row>
        <row r="103">
          <cell r="B103" t="str">
            <v/>
          </cell>
        </row>
        <row r="104">
          <cell r="A104" t="str">
            <v>1992/93</v>
          </cell>
          <cell r="B104" t="str">
            <v>Q1</v>
          </cell>
          <cell r="D104">
            <v>475.02100000000002</v>
          </cell>
          <cell r="E104">
            <v>2466.7979999999998</v>
          </cell>
          <cell r="F104">
            <v>20.137</v>
          </cell>
          <cell r="G104">
            <v>2961.9560000000001</v>
          </cell>
          <cell r="H104">
            <v>211.46700000000001</v>
          </cell>
          <cell r="I104">
            <v>1.425</v>
          </cell>
          <cell r="J104">
            <v>345.91</v>
          </cell>
          <cell r="K104">
            <v>558.80200000000002</v>
          </cell>
          <cell r="L104">
            <v>282.589</v>
          </cell>
          <cell r="M104">
            <v>841.39099999999996</v>
          </cell>
          <cell r="N104">
            <v>2120.5650000000001</v>
          </cell>
        </row>
        <row r="105">
          <cell r="A105" t="str">
            <v>1992/93</v>
          </cell>
          <cell r="B105" t="str">
            <v>Q2</v>
          </cell>
          <cell r="D105">
            <v>2120.5650000000001</v>
          </cell>
          <cell r="E105" t="str">
            <v>--</v>
          </cell>
          <cell r="F105">
            <v>16.433</v>
          </cell>
          <cell r="G105">
            <v>2136.998</v>
          </cell>
          <cell r="H105">
            <v>218.81399999999999</v>
          </cell>
          <cell r="I105">
            <v>63.356999999999999</v>
          </cell>
          <cell r="J105">
            <v>-81.872</v>
          </cell>
          <cell r="K105">
            <v>200.29900000000001</v>
          </cell>
          <cell r="L105">
            <v>344.964</v>
          </cell>
          <cell r="M105">
            <v>545.26300000000003</v>
          </cell>
          <cell r="N105">
            <v>1591.7349999999999</v>
          </cell>
        </row>
        <row r="106">
          <cell r="A106" t="str">
            <v>1992/93</v>
          </cell>
          <cell r="B106" t="str">
            <v>Q3</v>
          </cell>
          <cell r="D106">
            <v>1591.7349999999999</v>
          </cell>
          <cell r="E106" t="str">
            <v>--</v>
          </cell>
          <cell r="F106">
            <v>17.353999999999999</v>
          </cell>
          <cell r="G106">
            <v>1609.0889999999999</v>
          </cell>
          <cell r="H106">
            <v>197.03899999999999</v>
          </cell>
          <cell r="I106">
            <v>2.5979999999999999</v>
          </cell>
          <cell r="J106">
            <v>4.8360000000000003</v>
          </cell>
          <cell r="K106">
            <v>204.47300000000001</v>
          </cell>
          <cell r="L106">
            <v>356.32499999999999</v>
          </cell>
          <cell r="M106">
            <v>560.798</v>
          </cell>
          <cell r="N106">
            <v>1048.2909999999999</v>
          </cell>
        </row>
        <row r="107">
          <cell r="A107" t="str">
            <v>1992/93</v>
          </cell>
          <cell r="B107" t="str">
            <v>Q4</v>
          </cell>
          <cell r="D107">
            <v>1048.2909999999999</v>
          </cell>
          <cell r="E107" t="str">
            <v>--</v>
          </cell>
          <cell r="F107">
            <v>16.077000000000002</v>
          </cell>
          <cell r="G107">
            <v>1064.3679999999999</v>
          </cell>
          <cell r="H107">
            <v>207.52199999999999</v>
          </cell>
          <cell r="I107">
            <v>31.716999999999999</v>
          </cell>
          <cell r="J107">
            <v>-75.224999999999994</v>
          </cell>
          <cell r="K107">
            <v>164.01400000000001</v>
          </cell>
          <cell r="L107">
            <v>369.702</v>
          </cell>
          <cell r="M107">
            <v>533.71600000000001</v>
          </cell>
          <cell r="N107">
            <v>530.65200000000004</v>
          </cell>
        </row>
        <row r="108">
          <cell r="A108" t="str">
            <v>1992/93</v>
          </cell>
          <cell r="B108" t="str">
            <v>MY</v>
          </cell>
          <cell r="D108">
            <v>475.02100000000002</v>
          </cell>
          <cell r="E108">
            <v>2466.7979999999998</v>
          </cell>
          <cell r="F108">
            <v>70.001000000000005</v>
          </cell>
          <cell r="G108">
            <v>3011.82</v>
          </cell>
          <cell r="H108">
            <v>834.84199999999998</v>
          </cell>
          <cell r="I108">
            <v>99.096999999999994</v>
          </cell>
          <cell r="J108">
            <v>193.649</v>
          </cell>
          <cell r="K108">
            <v>1127.588</v>
          </cell>
          <cell r="L108">
            <v>1353.58</v>
          </cell>
          <cell r="M108">
            <v>2481.1680000000001</v>
          </cell>
          <cell r="N108">
            <v>530.65200000000004</v>
          </cell>
        </row>
        <row r="109">
          <cell r="B109" t="str">
            <v/>
          </cell>
        </row>
        <row r="110">
          <cell r="A110" t="str">
            <v>1993/94</v>
          </cell>
          <cell r="B110" t="str">
            <v>Q1</v>
          </cell>
          <cell r="D110">
            <v>530.65200000000004</v>
          </cell>
          <cell r="E110">
            <v>2396.44</v>
          </cell>
          <cell r="F110">
            <v>14.595000000000001</v>
          </cell>
          <cell r="G110">
            <v>2941.6869999999999</v>
          </cell>
          <cell r="H110">
            <v>211.279</v>
          </cell>
          <cell r="I110">
            <v>1.2889999999999999</v>
          </cell>
          <cell r="J110">
            <v>295.84899999999999</v>
          </cell>
          <cell r="K110">
            <v>508.41699999999997</v>
          </cell>
          <cell r="L110">
            <v>300.66300000000001</v>
          </cell>
          <cell r="M110">
            <v>809.08</v>
          </cell>
          <cell r="N110">
            <v>2132.607</v>
          </cell>
        </row>
        <row r="111">
          <cell r="A111" t="str">
            <v>1993/94</v>
          </cell>
          <cell r="B111" t="str">
            <v>Q2</v>
          </cell>
          <cell r="D111">
            <v>2132.607</v>
          </cell>
          <cell r="E111" t="str">
            <v>--</v>
          </cell>
          <cell r="F111">
            <v>30.120999999999999</v>
          </cell>
          <cell r="G111">
            <v>2162.7280000000001</v>
          </cell>
          <cell r="H111">
            <v>225.30600000000001</v>
          </cell>
          <cell r="I111">
            <v>60.908000000000001</v>
          </cell>
          <cell r="J111">
            <v>-38.466999999999999</v>
          </cell>
          <cell r="K111">
            <v>247.74700000000001</v>
          </cell>
          <cell r="L111">
            <v>329.24700000000001</v>
          </cell>
          <cell r="M111">
            <v>576.99400000000003</v>
          </cell>
          <cell r="N111">
            <v>1585.7339999999999</v>
          </cell>
        </row>
        <row r="112">
          <cell r="A112" t="str">
            <v>1993/94</v>
          </cell>
          <cell r="B112" t="str">
            <v>Q3</v>
          </cell>
          <cell r="D112">
            <v>1585.7339999999999</v>
          </cell>
          <cell r="E112" t="str">
            <v>--</v>
          </cell>
          <cell r="F112">
            <v>26.856999999999999</v>
          </cell>
          <cell r="G112">
            <v>1612.5909999999999</v>
          </cell>
          <cell r="H112">
            <v>211.00700000000001</v>
          </cell>
          <cell r="I112">
            <v>2.2589999999999999</v>
          </cell>
          <cell r="J112">
            <v>39.006999999999998</v>
          </cell>
          <cell r="K112">
            <v>252.273</v>
          </cell>
          <cell r="L112">
            <v>332.33100000000002</v>
          </cell>
          <cell r="M112">
            <v>584.60400000000004</v>
          </cell>
          <cell r="N112">
            <v>1027.9870000000001</v>
          </cell>
        </row>
        <row r="113">
          <cell r="A113" t="str">
            <v>1993/94</v>
          </cell>
          <cell r="B113" t="str">
            <v>Q4</v>
          </cell>
          <cell r="D113">
            <v>1027.9870000000001</v>
          </cell>
          <cell r="E113" t="str">
            <v>--</v>
          </cell>
          <cell r="F113">
            <v>37.244</v>
          </cell>
          <cell r="G113">
            <v>1065.231</v>
          </cell>
          <cell r="H113">
            <v>224.072</v>
          </cell>
          <cell r="I113">
            <v>31.795999999999999</v>
          </cell>
          <cell r="J113">
            <v>-24.640999999999998</v>
          </cell>
          <cell r="K113">
            <v>231.227</v>
          </cell>
          <cell r="L113">
            <v>265.52</v>
          </cell>
          <cell r="M113">
            <v>496.74700000000001</v>
          </cell>
          <cell r="N113">
            <v>568.48400000000004</v>
          </cell>
        </row>
        <row r="114">
          <cell r="A114" t="str">
            <v>1993/94</v>
          </cell>
          <cell r="B114" t="str">
            <v>MY</v>
          </cell>
          <cell r="D114">
            <v>530.65200000000004</v>
          </cell>
          <cell r="E114">
            <v>2396.44</v>
          </cell>
          <cell r="F114">
            <v>108.81699999999999</v>
          </cell>
          <cell r="G114">
            <v>3035.9090000000001</v>
          </cell>
          <cell r="H114">
            <v>871.66399999999999</v>
          </cell>
          <cell r="I114">
            <v>96.251999999999995</v>
          </cell>
          <cell r="J114">
            <v>271.74799999999999</v>
          </cell>
          <cell r="K114">
            <v>1239.664</v>
          </cell>
          <cell r="L114">
            <v>1227.761</v>
          </cell>
          <cell r="M114">
            <v>2467.4250000000002</v>
          </cell>
          <cell r="N114">
            <v>568.48400000000004</v>
          </cell>
        </row>
        <row r="115">
          <cell r="B115" t="str">
            <v/>
          </cell>
        </row>
        <row r="116">
          <cell r="A116" t="str">
            <v>1994/95</v>
          </cell>
          <cell r="B116" t="str">
            <v>Q1</v>
          </cell>
          <cell r="D116">
            <v>568.48400000000004</v>
          </cell>
          <cell r="E116">
            <v>2320.9810000000002</v>
          </cell>
          <cell r="F116">
            <v>30.722000000000001</v>
          </cell>
          <cell r="G116">
            <v>2920.1869999999999</v>
          </cell>
          <cell r="H116">
            <v>213.18899999999999</v>
          </cell>
          <cell r="I116">
            <v>1.585</v>
          </cell>
          <cell r="J116">
            <v>376.27199999999999</v>
          </cell>
          <cell r="K116">
            <v>591.04600000000005</v>
          </cell>
          <cell r="L116">
            <v>259.64699999999999</v>
          </cell>
          <cell r="M116">
            <v>850.69299999999998</v>
          </cell>
          <cell r="N116">
            <v>2069.4940000000001</v>
          </cell>
        </row>
        <row r="117">
          <cell r="A117" t="str">
            <v>1994/95</v>
          </cell>
          <cell r="B117" t="str">
            <v>Q2</v>
          </cell>
          <cell r="D117">
            <v>2069.4940000000001</v>
          </cell>
          <cell r="E117" t="str">
            <v>--</v>
          </cell>
          <cell r="F117">
            <v>21.422999999999998</v>
          </cell>
          <cell r="G117">
            <v>2090.9169999999999</v>
          </cell>
          <cell r="H117">
            <v>229.297</v>
          </cell>
          <cell r="I117">
            <v>60.954000000000001</v>
          </cell>
          <cell r="J117">
            <v>-28.64</v>
          </cell>
          <cell r="K117">
            <v>261.61099999999999</v>
          </cell>
          <cell r="L117">
            <v>338.202</v>
          </cell>
          <cell r="M117">
            <v>599.81299999999999</v>
          </cell>
          <cell r="N117">
            <v>1491.104</v>
          </cell>
        </row>
        <row r="118">
          <cell r="A118" t="str">
            <v>1994/95</v>
          </cell>
          <cell r="B118" t="str">
            <v>Q3</v>
          </cell>
          <cell r="D118">
            <v>1491.104</v>
          </cell>
          <cell r="E118" t="str">
            <v>--</v>
          </cell>
          <cell r="F118">
            <v>17.652000000000001</v>
          </cell>
          <cell r="G118">
            <v>1508.7560000000001</v>
          </cell>
          <cell r="H118">
            <v>201.63800000000001</v>
          </cell>
          <cell r="I118">
            <v>2.2029999999999998</v>
          </cell>
          <cell r="J118">
            <v>25.344000000000001</v>
          </cell>
          <cell r="K118">
            <v>229.185</v>
          </cell>
          <cell r="L118">
            <v>310.37200000000001</v>
          </cell>
          <cell r="M118">
            <v>539.55700000000002</v>
          </cell>
          <cell r="N118">
            <v>969.19899999999996</v>
          </cell>
        </row>
        <row r="119">
          <cell r="A119" t="str">
            <v>1994/95</v>
          </cell>
          <cell r="B119" t="str">
            <v>Q4</v>
          </cell>
          <cell r="D119">
            <v>969.19899999999996</v>
          </cell>
          <cell r="E119" t="str">
            <v>--</v>
          </cell>
          <cell r="F119">
            <v>22.15</v>
          </cell>
          <cell r="G119">
            <v>991.34900000000005</v>
          </cell>
          <cell r="H119">
            <v>208.857</v>
          </cell>
          <cell r="I119">
            <v>24.302</v>
          </cell>
          <cell r="J119">
            <v>-28.451000000000001</v>
          </cell>
          <cell r="K119">
            <v>204.708</v>
          </cell>
          <cell r="L119">
            <v>280.05599999999998</v>
          </cell>
          <cell r="M119">
            <v>484.76400000000001</v>
          </cell>
          <cell r="N119">
            <v>506.58499999999998</v>
          </cell>
        </row>
        <row r="120">
          <cell r="A120" t="str">
            <v>1994/95</v>
          </cell>
          <cell r="B120" t="str">
            <v>MY</v>
          </cell>
          <cell r="D120">
            <v>568.48400000000004</v>
          </cell>
          <cell r="E120">
            <v>2320.9810000000002</v>
          </cell>
          <cell r="F120">
            <v>91.947000000000003</v>
          </cell>
          <cell r="G120">
            <v>2981.4119999999998</v>
          </cell>
          <cell r="H120">
            <v>852.98099999999999</v>
          </cell>
          <cell r="I120">
            <v>89.043999999999997</v>
          </cell>
          <cell r="J120">
            <v>344.52499999999998</v>
          </cell>
          <cell r="K120">
            <v>1286.55</v>
          </cell>
          <cell r="L120">
            <v>1188.277</v>
          </cell>
          <cell r="M120">
            <v>2474.8270000000002</v>
          </cell>
          <cell r="N120">
            <v>506.58499999999998</v>
          </cell>
        </row>
        <row r="121">
          <cell r="B121" t="str">
            <v/>
          </cell>
        </row>
        <row r="122">
          <cell r="A122" t="str">
            <v>1995/96</v>
          </cell>
          <cell r="B122" t="str">
            <v>Q1</v>
          </cell>
          <cell r="D122">
            <v>506.58499999999998</v>
          </cell>
          <cell r="E122">
            <v>2182.7080000000001</v>
          </cell>
          <cell r="F122">
            <v>22.722999999999999</v>
          </cell>
          <cell r="G122">
            <v>2712.0160000000001</v>
          </cell>
          <cell r="H122">
            <v>215.29599999999999</v>
          </cell>
          <cell r="I122">
            <v>7.98</v>
          </cell>
          <cell r="J122">
            <v>305.10500000000002</v>
          </cell>
          <cell r="K122">
            <v>528.38099999999997</v>
          </cell>
          <cell r="L122">
            <v>302.536</v>
          </cell>
          <cell r="M122">
            <v>830.91700000000003</v>
          </cell>
          <cell r="N122">
            <v>1881.0989999999999</v>
          </cell>
        </row>
        <row r="123">
          <cell r="A123" t="str">
            <v>1995/96</v>
          </cell>
          <cell r="B123" t="str">
            <v>Q2</v>
          </cell>
          <cell r="D123">
            <v>1881.0989999999999</v>
          </cell>
          <cell r="E123" t="str">
            <v>--</v>
          </cell>
          <cell r="F123">
            <v>16.251999999999999</v>
          </cell>
          <cell r="G123">
            <v>1897.3510000000001</v>
          </cell>
          <cell r="H123">
            <v>232.15100000000001</v>
          </cell>
          <cell r="I123">
            <v>64.355999999999995</v>
          </cell>
          <cell r="J123">
            <v>-98.182000000000002</v>
          </cell>
          <cell r="K123">
            <v>198.32499999999999</v>
          </cell>
          <cell r="L123">
            <v>360.75900000000001</v>
          </cell>
          <cell r="M123">
            <v>559.08399999999995</v>
          </cell>
          <cell r="N123">
            <v>1338.2670000000001</v>
          </cell>
        </row>
        <row r="124">
          <cell r="A124" t="str">
            <v>1995/96</v>
          </cell>
          <cell r="B124" t="str">
            <v>Q3</v>
          </cell>
          <cell r="D124">
            <v>1338.2670000000001</v>
          </cell>
          <cell r="E124" t="str">
            <v>--</v>
          </cell>
          <cell r="F124">
            <v>11.757999999999999</v>
          </cell>
          <cell r="G124">
            <v>1350.0250000000001</v>
          </cell>
          <cell r="H124">
            <v>215.846</v>
          </cell>
          <cell r="I124">
            <v>2.9460000000000002</v>
          </cell>
          <cell r="J124">
            <v>13.292</v>
          </cell>
          <cell r="K124">
            <v>232.084</v>
          </cell>
          <cell r="L124">
            <v>294.47699999999998</v>
          </cell>
          <cell r="M124">
            <v>526.56100000000004</v>
          </cell>
          <cell r="N124">
            <v>823.46400000000006</v>
          </cell>
        </row>
        <row r="125">
          <cell r="A125" t="str">
            <v>1995/96</v>
          </cell>
          <cell r="B125" t="str">
            <v>Q4</v>
          </cell>
          <cell r="D125">
            <v>823.46400000000006</v>
          </cell>
          <cell r="E125" t="str">
            <v>--</v>
          </cell>
          <cell r="F125">
            <v>17.2</v>
          </cell>
          <cell r="G125">
            <v>840.66399999999999</v>
          </cell>
          <cell r="H125">
            <v>219.583</v>
          </cell>
          <cell r="I125">
            <v>28.177</v>
          </cell>
          <cell r="J125">
            <v>-66.486999999999995</v>
          </cell>
          <cell r="K125">
            <v>181.273</v>
          </cell>
          <cell r="L125">
            <v>283.37099999999998</v>
          </cell>
          <cell r="M125">
            <v>464.64400000000001</v>
          </cell>
          <cell r="N125">
            <v>376.02</v>
          </cell>
        </row>
        <row r="126">
          <cell r="A126" t="str">
            <v>1995/96</v>
          </cell>
          <cell r="B126" t="str">
            <v>MY</v>
          </cell>
          <cell r="D126">
            <v>506.58499999999998</v>
          </cell>
          <cell r="E126">
            <v>2182.7080000000001</v>
          </cell>
          <cell r="F126">
            <v>67.933000000000007</v>
          </cell>
          <cell r="G126">
            <v>2757.2260000000001</v>
          </cell>
          <cell r="H126">
            <v>882.87599999999998</v>
          </cell>
          <cell r="I126">
            <v>103.459</v>
          </cell>
          <cell r="J126">
            <v>153.72800000000001</v>
          </cell>
          <cell r="K126">
            <v>1140.0630000000001</v>
          </cell>
          <cell r="L126">
            <v>1241.143</v>
          </cell>
          <cell r="M126">
            <v>2381.2060000000001</v>
          </cell>
          <cell r="N126">
            <v>376.02</v>
          </cell>
        </row>
        <row r="127">
          <cell r="B127" t="str">
            <v/>
          </cell>
        </row>
        <row r="128">
          <cell r="A128" t="str">
            <v>1996/97</v>
          </cell>
          <cell r="B128" t="str">
            <v>Q1</v>
          </cell>
          <cell r="D128">
            <v>376.02</v>
          </cell>
          <cell r="E128">
            <v>2277.3879999999999</v>
          </cell>
          <cell r="F128">
            <v>14.851000000000001</v>
          </cell>
          <cell r="G128">
            <v>2668.259</v>
          </cell>
          <cell r="H128">
            <v>223.71899999999999</v>
          </cell>
          <cell r="I128">
            <v>8.7420000000000009</v>
          </cell>
          <cell r="J128">
            <v>377.53899999999999</v>
          </cell>
          <cell r="K128">
            <v>610</v>
          </cell>
          <cell r="L128">
            <v>334.06299999999999</v>
          </cell>
          <cell r="M128">
            <v>944.06299999999999</v>
          </cell>
          <cell r="N128">
            <v>1724.1959999999999</v>
          </cell>
        </row>
        <row r="129">
          <cell r="A129" t="str">
            <v>1996/97</v>
          </cell>
          <cell r="B129" t="str">
            <v>Q2</v>
          </cell>
          <cell r="D129">
            <v>1724.1959999999999</v>
          </cell>
          <cell r="E129" t="str">
            <v>--</v>
          </cell>
          <cell r="F129">
            <v>20.667000000000002</v>
          </cell>
          <cell r="G129">
            <v>1744.8630000000001</v>
          </cell>
          <cell r="H129">
            <v>233.81299999999999</v>
          </cell>
          <cell r="I129">
            <v>59.927999999999997</v>
          </cell>
          <cell r="J129">
            <v>-75.978999999999999</v>
          </cell>
          <cell r="K129">
            <v>217.762</v>
          </cell>
          <cell r="L129">
            <v>308.291</v>
          </cell>
          <cell r="M129">
            <v>526.053</v>
          </cell>
          <cell r="N129">
            <v>1218.81</v>
          </cell>
        </row>
        <row r="130">
          <cell r="A130" t="str">
            <v>1996/97</v>
          </cell>
          <cell r="B130" t="str">
            <v>Q3</v>
          </cell>
          <cell r="D130">
            <v>1218.81</v>
          </cell>
          <cell r="E130" t="str">
            <v>--</v>
          </cell>
          <cell r="F130">
            <v>27.082999999999998</v>
          </cell>
          <cell r="G130">
            <v>1245.893</v>
          </cell>
          <cell r="H130">
            <v>212.68</v>
          </cell>
          <cell r="I130">
            <v>1.79</v>
          </cell>
          <cell r="J130">
            <v>30.263999999999999</v>
          </cell>
          <cell r="K130">
            <v>244.73400000000001</v>
          </cell>
          <cell r="L130">
            <v>179.34</v>
          </cell>
          <cell r="M130">
            <v>424.07400000000001</v>
          </cell>
          <cell r="N130">
            <v>821.81899999999996</v>
          </cell>
        </row>
        <row r="131">
          <cell r="A131" t="str">
            <v>1996/97</v>
          </cell>
          <cell r="B131" t="str">
            <v>Q4</v>
          </cell>
          <cell r="D131">
            <v>821.81899999999996</v>
          </cell>
          <cell r="E131" t="str">
            <v>--</v>
          </cell>
          <cell r="F131">
            <v>29.731999999999999</v>
          </cell>
          <cell r="G131">
            <v>851.55100000000004</v>
          </cell>
          <cell r="H131">
            <v>220.50700000000001</v>
          </cell>
          <cell r="I131">
            <v>31.84</v>
          </cell>
          <cell r="J131">
            <v>-24.231000000000002</v>
          </cell>
          <cell r="K131">
            <v>228.11600000000001</v>
          </cell>
          <cell r="L131">
            <v>179.828</v>
          </cell>
          <cell r="M131">
            <v>407.94400000000002</v>
          </cell>
          <cell r="N131">
            <v>443.60700000000003</v>
          </cell>
        </row>
        <row r="132">
          <cell r="A132" t="str">
            <v>1996/97</v>
          </cell>
          <cell r="B132" t="str">
            <v>MY</v>
          </cell>
          <cell r="D132">
            <v>376.02</v>
          </cell>
          <cell r="E132">
            <v>2277.3879999999999</v>
          </cell>
          <cell r="F132">
            <v>92.332999999999998</v>
          </cell>
          <cell r="G132">
            <v>2745.741</v>
          </cell>
          <cell r="H132">
            <v>890.71900000000005</v>
          </cell>
          <cell r="I132">
            <v>102.3</v>
          </cell>
          <cell r="J132">
            <v>307.59300000000002</v>
          </cell>
          <cell r="K132">
            <v>1300.6120000000001</v>
          </cell>
          <cell r="L132">
            <v>1001.522</v>
          </cell>
          <cell r="M132">
            <v>2302.134</v>
          </cell>
          <cell r="N132">
            <v>443.60700000000003</v>
          </cell>
        </row>
        <row r="133">
          <cell r="B133" t="str">
            <v/>
          </cell>
        </row>
        <row r="134">
          <cell r="A134" t="str">
            <v>1997/98</v>
          </cell>
          <cell r="B134" t="str">
            <v>Q1</v>
          </cell>
          <cell r="D134">
            <v>443.60700000000003</v>
          </cell>
          <cell r="E134">
            <v>2481.4659999999999</v>
          </cell>
          <cell r="F134">
            <v>22.713999999999999</v>
          </cell>
          <cell r="G134">
            <v>2947.7869999999998</v>
          </cell>
          <cell r="H134">
            <v>227.9</v>
          </cell>
          <cell r="I134">
            <v>3.1179999999999999</v>
          </cell>
          <cell r="J134">
            <v>352.18299999999999</v>
          </cell>
          <cell r="K134">
            <v>583.20100000000002</v>
          </cell>
          <cell r="L134">
            <v>288.238</v>
          </cell>
          <cell r="M134">
            <v>871.43899999999996</v>
          </cell>
          <cell r="N134">
            <v>2076.348</v>
          </cell>
        </row>
        <row r="135">
          <cell r="A135" t="str">
            <v>1997/98</v>
          </cell>
          <cell r="B135" t="str">
            <v>Q2</v>
          </cell>
          <cell r="D135">
            <v>2076.348</v>
          </cell>
          <cell r="E135" t="str">
            <v>--</v>
          </cell>
          <cell r="F135">
            <v>22.777000000000001</v>
          </cell>
          <cell r="G135">
            <v>2099.125</v>
          </cell>
          <cell r="H135">
            <v>238.678</v>
          </cell>
          <cell r="I135">
            <v>58.600999999999999</v>
          </cell>
          <cell r="J135">
            <v>-113.36199999999999</v>
          </cell>
          <cell r="K135">
            <v>183.917</v>
          </cell>
          <cell r="L135">
            <v>295.96600000000001</v>
          </cell>
          <cell r="M135">
            <v>479.88299999999998</v>
          </cell>
          <cell r="N135">
            <v>1619.242</v>
          </cell>
        </row>
        <row r="136">
          <cell r="A136" t="str">
            <v>1997/98</v>
          </cell>
          <cell r="B136" t="str">
            <v>Q3</v>
          </cell>
          <cell r="D136">
            <v>1619.242</v>
          </cell>
          <cell r="E136" t="str">
            <v>--</v>
          </cell>
          <cell r="F136">
            <v>23.766999999999999</v>
          </cell>
          <cell r="G136">
            <v>1643.009</v>
          </cell>
          <cell r="H136">
            <v>219.202</v>
          </cell>
          <cell r="I136">
            <v>2.0880000000000001</v>
          </cell>
          <cell r="J136">
            <v>0.28499999999999998</v>
          </cell>
          <cell r="K136">
            <v>221.57499999999999</v>
          </cell>
          <cell r="L136">
            <v>254.87</v>
          </cell>
          <cell r="M136">
            <v>476.44499999999999</v>
          </cell>
          <cell r="N136">
            <v>1166.5640000000001</v>
          </cell>
        </row>
        <row r="137">
          <cell r="A137" t="str">
            <v>1997/98</v>
          </cell>
          <cell r="B137" t="str">
            <v>Q4</v>
          </cell>
          <cell r="D137">
            <v>1166.5640000000001</v>
          </cell>
          <cell r="E137" t="str">
            <v>--</v>
          </cell>
          <cell r="F137">
            <v>25.664999999999999</v>
          </cell>
          <cell r="G137">
            <v>1192.229</v>
          </cell>
          <cell r="H137">
            <v>228.339</v>
          </cell>
          <cell r="I137">
            <v>28.667000000000002</v>
          </cell>
          <cell r="J137">
            <v>11.428000000000001</v>
          </cell>
          <cell r="K137">
            <v>268.43400000000003</v>
          </cell>
          <cell r="L137">
            <v>201.31700000000001</v>
          </cell>
          <cell r="M137">
            <v>469.75099999999998</v>
          </cell>
          <cell r="N137">
            <v>722.47799999999995</v>
          </cell>
        </row>
        <row r="138">
          <cell r="A138" t="str">
            <v>1997/98</v>
          </cell>
          <cell r="B138" t="str">
            <v>MY</v>
          </cell>
          <cell r="D138">
            <v>443.60700000000003</v>
          </cell>
          <cell r="E138">
            <v>2481.4659999999999</v>
          </cell>
          <cell r="F138">
            <v>94.923000000000002</v>
          </cell>
          <cell r="G138">
            <v>3019.9960000000001</v>
          </cell>
          <cell r="H138">
            <v>914.11900000000003</v>
          </cell>
          <cell r="I138">
            <v>92.474000000000004</v>
          </cell>
          <cell r="J138">
            <v>250.53399999999999</v>
          </cell>
          <cell r="K138">
            <v>1257.127</v>
          </cell>
          <cell r="L138">
            <v>1040.3910000000001</v>
          </cell>
          <cell r="M138">
            <v>2297.518</v>
          </cell>
          <cell r="N138">
            <v>722.47799999999995</v>
          </cell>
        </row>
        <row r="139">
          <cell r="B139" t="str">
            <v/>
          </cell>
        </row>
        <row r="140">
          <cell r="A140" t="str">
            <v>1998/99</v>
          </cell>
          <cell r="B140" t="str">
            <v>Q1</v>
          </cell>
          <cell r="D140">
            <v>722.47799999999995</v>
          </cell>
          <cell r="E140">
            <v>2547.3209999999999</v>
          </cell>
          <cell r="F140">
            <v>24.373000000000001</v>
          </cell>
          <cell r="G140">
            <v>3294.172</v>
          </cell>
          <cell r="H140">
            <v>225.69300000000001</v>
          </cell>
          <cell r="I140">
            <v>0.98799999999999999</v>
          </cell>
          <cell r="J140">
            <v>424.911</v>
          </cell>
          <cell r="K140">
            <v>651.59199999999998</v>
          </cell>
          <cell r="L140">
            <v>257.26499999999999</v>
          </cell>
          <cell r="M140">
            <v>908.85699999999997</v>
          </cell>
          <cell r="N140">
            <v>2385.3150000000001</v>
          </cell>
        </row>
        <row r="141">
          <cell r="A141" t="str">
            <v>1998/99</v>
          </cell>
          <cell r="B141" t="str">
            <v>Q2</v>
          </cell>
          <cell r="D141">
            <v>2385.3150000000001</v>
          </cell>
          <cell r="E141" t="str">
            <v>--</v>
          </cell>
          <cell r="F141">
            <v>23.928999999999998</v>
          </cell>
          <cell r="G141">
            <v>2409.2440000000001</v>
          </cell>
          <cell r="H141">
            <v>240.745</v>
          </cell>
          <cell r="I141">
            <v>54.774999999999999</v>
          </cell>
          <cell r="J141">
            <v>-73.716999999999999</v>
          </cell>
          <cell r="K141">
            <v>221.803</v>
          </cell>
          <cell r="L141">
            <v>291.76</v>
          </cell>
          <cell r="M141">
            <v>513.56299999999999</v>
          </cell>
          <cell r="N141">
            <v>1895.681</v>
          </cell>
        </row>
        <row r="142">
          <cell r="A142" t="str">
            <v>1998/99</v>
          </cell>
          <cell r="B142" t="str">
            <v>Q3</v>
          </cell>
          <cell r="D142">
            <v>1895.681</v>
          </cell>
          <cell r="E142" t="str">
            <v>--</v>
          </cell>
          <cell r="F142">
            <v>27.713000000000001</v>
          </cell>
          <cell r="G142">
            <v>1923.394</v>
          </cell>
          <cell r="H142">
            <v>213.399</v>
          </cell>
          <cell r="I142">
            <v>1.4410000000000001</v>
          </cell>
          <cell r="J142">
            <v>7.3029999999999999</v>
          </cell>
          <cell r="K142">
            <v>222.143</v>
          </cell>
          <cell r="L142">
            <v>250.84</v>
          </cell>
          <cell r="M142">
            <v>472.983</v>
          </cell>
          <cell r="N142">
            <v>1450.4110000000001</v>
          </cell>
        </row>
        <row r="143">
          <cell r="A143" t="str">
            <v>1998/99</v>
          </cell>
          <cell r="B143" t="str">
            <v>Q4</v>
          </cell>
          <cell r="D143">
            <v>1450.4110000000001</v>
          </cell>
          <cell r="E143" t="str">
            <v>--</v>
          </cell>
          <cell r="F143">
            <v>26.971</v>
          </cell>
          <cell r="G143">
            <v>1477.3820000000001</v>
          </cell>
          <cell r="H143">
            <v>230.124</v>
          </cell>
          <cell r="I143">
            <v>23.225000000000001</v>
          </cell>
          <cell r="J143">
            <v>32.237000000000002</v>
          </cell>
          <cell r="K143">
            <v>285.58600000000001</v>
          </cell>
          <cell r="L143">
            <v>245.87799999999999</v>
          </cell>
          <cell r="M143">
            <v>531.46400000000006</v>
          </cell>
          <cell r="N143">
            <v>945.91800000000001</v>
          </cell>
        </row>
        <row r="144">
          <cell r="A144" t="str">
            <v>1998/99</v>
          </cell>
          <cell r="B144" t="str">
            <v>MY</v>
          </cell>
          <cell r="D144">
            <v>722.47799999999995</v>
          </cell>
          <cell r="E144">
            <v>2547.3209999999999</v>
          </cell>
          <cell r="F144">
            <v>102.986</v>
          </cell>
          <cell r="G144">
            <v>3372.7849999999999</v>
          </cell>
          <cell r="H144">
            <v>909.96100000000001</v>
          </cell>
          <cell r="I144">
            <v>80.429000000000002</v>
          </cell>
          <cell r="J144">
            <v>390.73399999999998</v>
          </cell>
          <cell r="K144">
            <v>1381.124</v>
          </cell>
          <cell r="L144">
            <v>1045.7429999999999</v>
          </cell>
          <cell r="M144">
            <v>2426.8670000000002</v>
          </cell>
          <cell r="N144">
            <v>945.91800000000001</v>
          </cell>
        </row>
        <row r="145">
          <cell r="B145" t="str">
            <v/>
          </cell>
        </row>
        <row r="146">
          <cell r="A146" t="str">
            <v>1999/00</v>
          </cell>
          <cell r="B146" t="str">
            <v>Q1</v>
          </cell>
          <cell r="D146">
            <v>945.91800000000001</v>
          </cell>
          <cell r="E146">
            <v>2295.56</v>
          </cell>
          <cell r="F146">
            <v>30.587</v>
          </cell>
          <cell r="G146">
            <v>3272.0650000000001</v>
          </cell>
          <cell r="H146">
            <v>230.16300000000001</v>
          </cell>
          <cell r="I146">
            <v>6.4240000000000004</v>
          </cell>
          <cell r="J146">
            <v>268.57799999999997</v>
          </cell>
          <cell r="K146">
            <v>505.16500000000002</v>
          </cell>
          <cell r="L146">
            <v>321.85700000000003</v>
          </cell>
          <cell r="M146">
            <v>827.02200000000005</v>
          </cell>
          <cell r="N146">
            <v>2445.0430000000001</v>
          </cell>
        </row>
        <row r="147">
          <cell r="A147" t="str">
            <v>1999/00</v>
          </cell>
          <cell r="B147" t="str">
            <v>Q2</v>
          </cell>
          <cell r="D147">
            <v>2445.0430000000001</v>
          </cell>
          <cell r="E147" t="str">
            <v>--</v>
          </cell>
          <cell r="F147">
            <v>19.457999999999998</v>
          </cell>
          <cell r="G147">
            <v>2464.5010000000002</v>
          </cell>
          <cell r="H147">
            <v>241.142</v>
          </cell>
          <cell r="I147">
            <v>54.512</v>
          </cell>
          <cell r="J147">
            <v>-4.5979999999999999</v>
          </cell>
          <cell r="K147">
            <v>291.05599999999998</v>
          </cell>
          <cell r="L147">
            <v>289.70100000000002</v>
          </cell>
          <cell r="M147">
            <v>580.75699999999995</v>
          </cell>
          <cell r="N147">
            <v>1883.7439999999999</v>
          </cell>
        </row>
        <row r="148">
          <cell r="A148" t="str">
            <v>1999/00</v>
          </cell>
          <cell r="B148" t="str">
            <v>Q3</v>
          </cell>
          <cell r="D148">
            <v>1883.7439999999999</v>
          </cell>
          <cell r="E148" t="str">
            <v>--</v>
          </cell>
          <cell r="F148">
            <v>19.445</v>
          </cell>
          <cell r="G148">
            <v>1903.1890000000001</v>
          </cell>
          <cell r="H148">
            <v>222.72399999999999</v>
          </cell>
          <cell r="I148">
            <v>2.2589999999999999</v>
          </cell>
          <cell r="J148">
            <v>25.524999999999999</v>
          </cell>
          <cell r="K148">
            <v>250.50800000000001</v>
          </cell>
          <cell r="L148">
            <v>236.16</v>
          </cell>
          <cell r="M148">
            <v>486.66800000000001</v>
          </cell>
          <cell r="N148">
            <v>1416.521</v>
          </cell>
        </row>
        <row r="149">
          <cell r="A149" t="str">
            <v>1999/00</v>
          </cell>
          <cell r="B149" t="str">
            <v>Q4</v>
          </cell>
          <cell r="D149">
            <v>1416.521</v>
          </cell>
          <cell r="E149" t="str">
            <v>--</v>
          </cell>
          <cell r="F149">
            <v>25.021000000000001</v>
          </cell>
          <cell r="G149">
            <v>1441.5419999999999</v>
          </cell>
          <cell r="H149">
            <v>234.79900000000001</v>
          </cell>
          <cell r="I149">
            <v>28.460999999999999</v>
          </cell>
          <cell r="J149">
            <v>-10.247</v>
          </cell>
          <cell r="K149">
            <v>253.01300000000001</v>
          </cell>
          <cell r="L149">
            <v>238.78100000000001</v>
          </cell>
          <cell r="M149">
            <v>491.79399999999998</v>
          </cell>
          <cell r="N149">
            <v>949.74800000000005</v>
          </cell>
        </row>
        <row r="150">
          <cell r="A150" t="str">
            <v>1999/00</v>
          </cell>
          <cell r="B150" t="str">
            <v>MY</v>
          </cell>
          <cell r="D150">
            <v>945.91800000000001</v>
          </cell>
          <cell r="E150">
            <v>2295.56</v>
          </cell>
          <cell r="F150">
            <v>94.510999999999996</v>
          </cell>
          <cell r="G150">
            <v>3335.989</v>
          </cell>
          <cell r="H150">
            <v>928.82799999999997</v>
          </cell>
          <cell r="I150">
            <v>91.656000000000006</v>
          </cell>
          <cell r="J150">
            <v>279.25799999999998</v>
          </cell>
          <cell r="K150">
            <v>1299.742</v>
          </cell>
          <cell r="L150">
            <v>1086.499</v>
          </cell>
          <cell r="M150">
            <v>2386.241</v>
          </cell>
          <cell r="N150">
            <v>949.74800000000005</v>
          </cell>
        </row>
        <row r="151">
          <cell r="B151" t="str">
            <v/>
          </cell>
        </row>
        <row r="152">
          <cell r="A152" t="str">
            <v>2000/01</v>
          </cell>
          <cell r="B152" t="str">
            <v>Q1</v>
          </cell>
          <cell r="D152">
            <v>949.74800000000005</v>
          </cell>
          <cell r="E152">
            <v>2228.16</v>
          </cell>
          <cell r="F152">
            <v>20.388999999999999</v>
          </cell>
          <cell r="G152">
            <v>3198.297</v>
          </cell>
          <cell r="H152">
            <v>238.774</v>
          </cell>
          <cell r="I152">
            <v>1.083</v>
          </cell>
          <cell r="J152">
            <v>317.93</v>
          </cell>
          <cell r="K152">
            <v>557.78700000000003</v>
          </cell>
          <cell r="L152">
            <v>287.83999999999997</v>
          </cell>
          <cell r="M152">
            <v>845.62699999999995</v>
          </cell>
          <cell r="N152">
            <v>2352.67</v>
          </cell>
        </row>
        <row r="153">
          <cell r="A153" t="str">
            <v>2000/01</v>
          </cell>
          <cell r="B153" t="str">
            <v>Q2</v>
          </cell>
          <cell r="D153">
            <v>2352.67</v>
          </cell>
          <cell r="E153" t="str">
            <v>--</v>
          </cell>
          <cell r="F153">
            <v>25.119</v>
          </cell>
          <cell r="G153">
            <v>2377.7890000000002</v>
          </cell>
          <cell r="H153">
            <v>252.99299999999999</v>
          </cell>
          <cell r="I153">
            <v>49.816000000000003</v>
          </cell>
          <cell r="J153">
            <v>-24.454000000000001</v>
          </cell>
          <cell r="K153">
            <v>278.35500000000002</v>
          </cell>
          <cell r="L153">
            <v>293.30900000000003</v>
          </cell>
          <cell r="M153">
            <v>571.66399999999999</v>
          </cell>
          <cell r="N153">
            <v>1806.125</v>
          </cell>
        </row>
        <row r="154">
          <cell r="A154" t="str">
            <v>2000/01</v>
          </cell>
          <cell r="B154" t="str">
            <v>Q3</v>
          </cell>
          <cell r="D154">
            <v>1806.125</v>
          </cell>
          <cell r="E154" t="str">
            <v>--</v>
          </cell>
          <cell r="F154">
            <v>21.4</v>
          </cell>
          <cell r="G154">
            <v>1827.5250000000001</v>
          </cell>
          <cell r="H154">
            <v>228.15100000000001</v>
          </cell>
          <cell r="I154">
            <v>3.4929999999999999</v>
          </cell>
          <cell r="J154">
            <v>11.425000000000001</v>
          </cell>
          <cell r="K154">
            <v>243.06899999999999</v>
          </cell>
          <cell r="L154">
            <v>246.05799999999999</v>
          </cell>
          <cell r="M154">
            <v>489.12700000000001</v>
          </cell>
          <cell r="N154">
            <v>1338.3979999999999</v>
          </cell>
        </row>
        <row r="155">
          <cell r="A155" t="str">
            <v>2000/01</v>
          </cell>
          <cell r="B155" t="str">
            <v>Q4</v>
          </cell>
          <cell r="D155">
            <v>1338.3979999999999</v>
          </cell>
          <cell r="E155" t="str">
            <v>--</v>
          </cell>
          <cell r="F155">
            <v>22.917000000000002</v>
          </cell>
          <cell r="G155">
            <v>1361.3150000000001</v>
          </cell>
          <cell r="H155">
            <v>229.67599999999999</v>
          </cell>
          <cell r="I155">
            <v>25.097999999999999</v>
          </cell>
          <cell r="J155">
            <v>-4.4749999999999996</v>
          </cell>
          <cell r="K155">
            <v>250.29900000000001</v>
          </cell>
          <cell r="L155">
            <v>234.834</v>
          </cell>
          <cell r="M155">
            <v>485.13299999999998</v>
          </cell>
          <cell r="N155">
            <v>876.18200000000002</v>
          </cell>
        </row>
        <row r="156">
          <cell r="A156" t="str">
            <v>2000/01</v>
          </cell>
          <cell r="B156" t="str">
            <v>MY</v>
          </cell>
          <cell r="D156">
            <v>949.74800000000005</v>
          </cell>
          <cell r="E156">
            <v>2228.16</v>
          </cell>
          <cell r="F156">
            <v>89.825000000000003</v>
          </cell>
          <cell r="G156">
            <v>3267.7330000000002</v>
          </cell>
          <cell r="H156">
            <v>949.59400000000005</v>
          </cell>
          <cell r="I156">
            <v>79.489999999999995</v>
          </cell>
          <cell r="J156">
            <v>300.42599999999999</v>
          </cell>
          <cell r="K156">
            <v>1329.51</v>
          </cell>
          <cell r="L156">
            <v>1062.0409999999999</v>
          </cell>
          <cell r="M156">
            <v>2391.5509999999999</v>
          </cell>
          <cell r="N156">
            <v>876.18200000000002</v>
          </cell>
        </row>
        <row r="157">
          <cell r="B157" t="str">
            <v/>
          </cell>
        </row>
        <row r="158">
          <cell r="A158" t="str">
            <v>2001/02</v>
          </cell>
          <cell r="B158" t="str">
            <v>Q1</v>
          </cell>
          <cell r="D158">
            <v>876.18200000000002</v>
          </cell>
          <cell r="E158">
            <v>1947.453</v>
          </cell>
          <cell r="F158">
            <v>25.713000000000001</v>
          </cell>
          <cell r="G158">
            <v>2849.348</v>
          </cell>
          <cell r="H158">
            <v>233.81399999999999</v>
          </cell>
          <cell r="I158">
            <v>3.468</v>
          </cell>
          <cell r="J158">
            <v>237.92599999999999</v>
          </cell>
          <cell r="K158">
            <v>475.20800000000003</v>
          </cell>
          <cell r="L158">
            <v>218.32599999999999</v>
          </cell>
          <cell r="M158">
            <v>693.53399999999999</v>
          </cell>
          <cell r="N158">
            <v>2155.8139999999999</v>
          </cell>
        </row>
        <row r="159">
          <cell r="A159" t="str">
            <v>2001/02</v>
          </cell>
          <cell r="B159" t="str">
            <v>Q2</v>
          </cell>
          <cell r="D159">
            <v>2155.8139999999999</v>
          </cell>
          <cell r="E159" t="str">
            <v>--</v>
          </cell>
          <cell r="F159">
            <v>29.04</v>
          </cell>
          <cell r="G159">
            <v>2184.8539999999998</v>
          </cell>
          <cell r="H159">
            <v>245.08799999999999</v>
          </cell>
          <cell r="I159">
            <v>51.600999999999999</v>
          </cell>
          <cell r="J159">
            <v>-23.073</v>
          </cell>
          <cell r="K159">
            <v>273.61599999999999</v>
          </cell>
          <cell r="L159">
            <v>287.78300000000002</v>
          </cell>
          <cell r="M159">
            <v>561.399</v>
          </cell>
          <cell r="N159">
            <v>1623.4549999999999</v>
          </cell>
        </row>
        <row r="160">
          <cell r="A160" t="str">
            <v>2001/02</v>
          </cell>
          <cell r="B160" t="str">
            <v>Q3</v>
          </cell>
          <cell r="D160">
            <v>1623.4549999999999</v>
          </cell>
          <cell r="E160" t="str">
            <v>--</v>
          </cell>
          <cell r="F160">
            <v>27.55</v>
          </cell>
          <cell r="G160">
            <v>1651.0050000000001</v>
          </cell>
          <cell r="H160">
            <v>221.12700000000001</v>
          </cell>
          <cell r="I160">
            <v>1.9950000000000001</v>
          </cell>
          <cell r="J160">
            <v>-6.617</v>
          </cell>
          <cell r="K160">
            <v>216.505</v>
          </cell>
          <cell r="L160">
            <v>224.732</v>
          </cell>
          <cell r="M160">
            <v>441.23700000000002</v>
          </cell>
          <cell r="N160">
            <v>1209.768</v>
          </cell>
        </row>
        <row r="161">
          <cell r="A161" t="str">
            <v>2001/02</v>
          </cell>
          <cell r="B161" t="str">
            <v>Q4</v>
          </cell>
          <cell r="D161">
            <v>1209.768</v>
          </cell>
          <cell r="E161" t="str">
            <v>--</v>
          </cell>
          <cell r="F161">
            <v>25.248000000000001</v>
          </cell>
          <cell r="G161">
            <v>1235.0160000000001</v>
          </cell>
          <cell r="H161">
            <v>226.36199999999999</v>
          </cell>
          <cell r="I161">
            <v>26.321000000000002</v>
          </cell>
          <cell r="J161">
            <v>-26.248999999999999</v>
          </cell>
          <cell r="K161">
            <v>226.434</v>
          </cell>
          <cell r="L161">
            <v>231.47</v>
          </cell>
          <cell r="M161">
            <v>457.904</v>
          </cell>
          <cell r="N161">
            <v>777.11199999999997</v>
          </cell>
        </row>
        <row r="162">
          <cell r="A162" t="str">
            <v>2001/02</v>
          </cell>
          <cell r="B162" t="str">
            <v>MY</v>
          </cell>
          <cell r="D162">
            <v>876.18200000000002</v>
          </cell>
          <cell r="E162">
            <v>1947.453</v>
          </cell>
          <cell r="F162">
            <v>107.551</v>
          </cell>
          <cell r="G162">
            <v>2931.1860000000001</v>
          </cell>
          <cell r="H162">
            <v>926.39099999999996</v>
          </cell>
          <cell r="I162">
            <v>83.385000000000005</v>
          </cell>
          <cell r="J162">
            <v>181.98699999999999</v>
          </cell>
          <cell r="K162">
            <v>1191.7629999999999</v>
          </cell>
          <cell r="L162">
            <v>962.31100000000004</v>
          </cell>
          <cell r="M162">
            <v>2154.0740000000001</v>
          </cell>
          <cell r="N162">
            <v>777.11199999999997</v>
          </cell>
        </row>
        <row r="163">
          <cell r="B163" t="str">
            <v/>
          </cell>
        </row>
        <row r="164">
          <cell r="A164" t="str">
            <v>2002/03</v>
          </cell>
          <cell r="B164" t="str">
            <v>Q1</v>
          </cell>
          <cell r="D164">
            <v>777.11199999999997</v>
          </cell>
          <cell r="E164">
            <v>1605.8779999999999</v>
          </cell>
          <cell r="F164">
            <v>26.657</v>
          </cell>
          <cell r="G164">
            <v>2409.6469999999999</v>
          </cell>
          <cell r="H164">
            <v>233.17500000000001</v>
          </cell>
          <cell r="I164">
            <v>2.7280000000000002</v>
          </cell>
          <cell r="J164">
            <v>184.52799999999999</v>
          </cell>
          <cell r="K164">
            <v>420.43099999999998</v>
          </cell>
          <cell r="L164">
            <v>240.22900000000001</v>
          </cell>
          <cell r="M164">
            <v>660.66</v>
          </cell>
          <cell r="N164">
            <v>1748.9870000000001</v>
          </cell>
        </row>
        <row r="165">
          <cell r="A165" t="str">
            <v>2002/03</v>
          </cell>
          <cell r="B165" t="str">
            <v>Q2</v>
          </cell>
          <cell r="D165">
            <v>1748.9870000000001</v>
          </cell>
          <cell r="E165" t="str">
            <v>--</v>
          </cell>
          <cell r="F165">
            <v>23.087</v>
          </cell>
          <cell r="G165">
            <v>1772.0740000000001</v>
          </cell>
          <cell r="H165">
            <v>237.75399999999999</v>
          </cell>
          <cell r="I165">
            <v>54.598999999999997</v>
          </cell>
          <cell r="J165">
            <v>-74.677999999999997</v>
          </cell>
          <cell r="K165">
            <v>217.67500000000001</v>
          </cell>
          <cell r="L165">
            <v>234.53</v>
          </cell>
          <cell r="M165">
            <v>452.20499999999998</v>
          </cell>
          <cell r="N165">
            <v>1319.8689999999999</v>
          </cell>
        </row>
        <row r="166">
          <cell r="A166" t="str">
            <v>2002/03</v>
          </cell>
          <cell r="B166" t="str">
            <v>Q3</v>
          </cell>
          <cell r="D166">
            <v>1319.8689999999999</v>
          </cell>
          <cell r="E166" t="str">
            <v>--</v>
          </cell>
          <cell r="F166">
            <v>12.688000000000001</v>
          </cell>
          <cell r="G166">
            <v>1332.557</v>
          </cell>
          <cell r="H166">
            <v>218.88499999999999</v>
          </cell>
          <cell r="I166">
            <v>3.1280000000000001</v>
          </cell>
          <cell r="J166">
            <v>14.116</v>
          </cell>
          <cell r="K166">
            <v>236.12899999999999</v>
          </cell>
          <cell r="L166">
            <v>189.79499999999999</v>
          </cell>
          <cell r="M166">
            <v>425.92399999999998</v>
          </cell>
          <cell r="N166">
            <v>906.63300000000004</v>
          </cell>
        </row>
        <row r="167">
          <cell r="A167" t="str">
            <v>2002/03</v>
          </cell>
          <cell r="B167" t="str">
            <v>Q4</v>
          </cell>
          <cell r="D167">
            <v>906.63300000000004</v>
          </cell>
          <cell r="E167" t="str">
            <v>--</v>
          </cell>
          <cell r="F167">
            <v>14.942</v>
          </cell>
          <cell r="G167">
            <v>921.57500000000005</v>
          </cell>
          <cell r="H167">
            <v>228.80099999999999</v>
          </cell>
          <cell r="I167">
            <v>23.928000000000001</v>
          </cell>
          <cell r="J167">
            <v>-8.2270000000000003</v>
          </cell>
          <cell r="K167">
            <v>244.50200000000001</v>
          </cell>
          <cell r="L167">
            <v>185.65700000000001</v>
          </cell>
          <cell r="M167">
            <v>430.15899999999999</v>
          </cell>
          <cell r="N167">
            <v>491.416</v>
          </cell>
        </row>
        <row r="168">
          <cell r="A168" t="str">
            <v>2002/03</v>
          </cell>
          <cell r="B168" t="str">
            <v>MY</v>
          </cell>
          <cell r="D168">
            <v>777.11199999999997</v>
          </cell>
          <cell r="E168">
            <v>1605.8779999999999</v>
          </cell>
          <cell r="F168">
            <v>77.373999999999995</v>
          </cell>
          <cell r="G168">
            <v>2460.364</v>
          </cell>
          <cell r="H168">
            <v>918.61500000000001</v>
          </cell>
          <cell r="I168">
            <v>84.382999999999996</v>
          </cell>
          <cell r="J168">
            <v>115.739</v>
          </cell>
          <cell r="K168">
            <v>1118.7370000000001</v>
          </cell>
          <cell r="L168">
            <v>850.21100000000001</v>
          </cell>
          <cell r="M168">
            <v>1968.9480000000001</v>
          </cell>
          <cell r="N168">
            <v>491.416</v>
          </cell>
        </row>
        <row r="169">
          <cell r="B169" t="str">
            <v/>
          </cell>
        </row>
        <row r="170">
          <cell r="A170" t="str">
            <v>2003/04</v>
          </cell>
          <cell r="B170" t="str">
            <v>Q1</v>
          </cell>
          <cell r="D170">
            <v>491.416</v>
          </cell>
          <cell r="E170">
            <v>2344.415</v>
          </cell>
          <cell r="F170">
            <v>15.704000000000001</v>
          </cell>
          <cell r="G170">
            <v>2851.5349999999999</v>
          </cell>
          <cell r="H170">
            <v>230.523</v>
          </cell>
          <cell r="I170">
            <v>2.1349999999999998</v>
          </cell>
          <cell r="J170">
            <v>314.96100000000001</v>
          </cell>
          <cell r="K170">
            <v>547.61900000000003</v>
          </cell>
          <cell r="L170">
            <v>264.94400000000002</v>
          </cell>
          <cell r="M170">
            <v>812.56299999999999</v>
          </cell>
          <cell r="N170">
            <v>2038.972</v>
          </cell>
        </row>
        <row r="171">
          <cell r="A171" t="str">
            <v>2003/04</v>
          </cell>
          <cell r="B171" t="str">
            <v>Q2</v>
          </cell>
          <cell r="D171">
            <v>2038.972</v>
          </cell>
          <cell r="E171" t="str">
            <v>--</v>
          </cell>
          <cell r="F171">
            <v>17.75</v>
          </cell>
          <cell r="G171">
            <v>2056.7220000000002</v>
          </cell>
          <cell r="H171">
            <v>239.58699999999999</v>
          </cell>
          <cell r="I171">
            <v>53.33</v>
          </cell>
          <cell r="J171">
            <v>-61.927999999999997</v>
          </cell>
          <cell r="K171">
            <v>230.989</v>
          </cell>
          <cell r="L171">
            <v>305.44900000000001</v>
          </cell>
          <cell r="M171">
            <v>536.43799999999999</v>
          </cell>
          <cell r="N171">
            <v>1520.2840000000001</v>
          </cell>
        </row>
        <row r="172">
          <cell r="A172" t="str">
            <v>2003/04</v>
          </cell>
          <cell r="B172" t="str">
            <v>Q3</v>
          </cell>
          <cell r="D172">
            <v>1520.2840000000001</v>
          </cell>
          <cell r="E172" t="str">
            <v>--</v>
          </cell>
          <cell r="F172">
            <v>12.906000000000001</v>
          </cell>
          <cell r="G172">
            <v>1533.19</v>
          </cell>
          <cell r="H172">
            <v>215.88200000000001</v>
          </cell>
          <cell r="I172">
            <v>2.15</v>
          </cell>
          <cell r="J172">
            <v>3.1019999999999999</v>
          </cell>
          <cell r="K172">
            <v>221.13399999999999</v>
          </cell>
          <cell r="L172">
            <v>291.43900000000002</v>
          </cell>
          <cell r="M172">
            <v>512.57299999999998</v>
          </cell>
          <cell r="N172">
            <v>1020.617</v>
          </cell>
        </row>
        <row r="173">
          <cell r="A173" t="str">
            <v>2003/04</v>
          </cell>
          <cell r="B173" t="str">
            <v>Q4</v>
          </cell>
          <cell r="D173">
            <v>1020.617</v>
          </cell>
          <cell r="E173" t="str">
            <v>--</v>
          </cell>
          <cell r="F173">
            <v>16.667000000000002</v>
          </cell>
          <cell r="G173">
            <v>1037.2840000000001</v>
          </cell>
          <cell r="H173">
            <v>225.93799999999999</v>
          </cell>
          <cell r="I173">
            <v>22.035</v>
          </cell>
          <cell r="J173">
            <v>-53.62</v>
          </cell>
          <cell r="K173">
            <v>194.35300000000001</v>
          </cell>
          <cell r="L173">
            <v>296.49200000000002</v>
          </cell>
          <cell r="M173">
            <v>490.84500000000003</v>
          </cell>
          <cell r="N173">
            <v>546.43899999999996</v>
          </cell>
        </row>
        <row r="174">
          <cell r="A174" t="str">
            <v>2003/04</v>
          </cell>
          <cell r="B174" t="str">
            <v>MY</v>
          </cell>
          <cell r="D174">
            <v>491.416</v>
          </cell>
          <cell r="E174">
            <v>2344.415</v>
          </cell>
          <cell r="F174">
            <v>63.027000000000001</v>
          </cell>
          <cell r="G174">
            <v>2898.8580000000002</v>
          </cell>
          <cell r="H174">
            <v>911.93</v>
          </cell>
          <cell r="I174">
            <v>79.650000000000006</v>
          </cell>
          <cell r="J174">
            <v>202.51499999999999</v>
          </cell>
          <cell r="K174">
            <v>1194.095</v>
          </cell>
          <cell r="L174">
            <v>1158.3240000000001</v>
          </cell>
          <cell r="M174">
            <v>2352.4189999999999</v>
          </cell>
          <cell r="N174">
            <v>546.43899999999996</v>
          </cell>
        </row>
        <row r="175">
          <cell r="B175" t="str">
            <v/>
          </cell>
        </row>
        <row r="176">
          <cell r="A176" t="str">
            <v>2004/05</v>
          </cell>
          <cell r="B176" t="str">
            <v>Q1</v>
          </cell>
          <cell r="D176">
            <v>546.43899999999996</v>
          </cell>
          <cell r="E176">
            <v>2156.79</v>
          </cell>
          <cell r="F176">
            <v>17.414999999999999</v>
          </cell>
          <cell r="G176">
            <v>2720.6439999999998</v>
          </cell>
          <cell r="H176">
            <v>227.489</v>
          </cell>
          <cell r="I176">
            <v>4.085</v>
          </cell>
          <cell r="J176">
            <v>263.851</v>
          </cell>
          <cell r="K176">
            <v>495.42500000000001</v>
          </cell>
          <cell r="L176">
            <v>286.81200000000001</v>
          </cell>
          <cell r="M176">
            <v>782.23699999999997</v>
          </cell>
          <cell r="N176">
            <v>1938.4069999999999</v>
          </cell>
        </row>
        <row r="177">
          <cell r="A177" t="str">
            <v>2004/05</v>
          </cell>
          <cell r="B177" t="str">
            <v>Q2</v>
          </cell>
          <cell r="D177">
            <v>1938.4069999999999</v>
          </cell>
          <cell r="E177" t="str">
            <v>--</v>
          </cell>
          <cell r="F177">
            <v>18.683</v>
          </cell>
          <cell r="G177">
            <v>1957.09</v>
          </cell>
          <cell r="H177">
            <v>235.58199999999999</v>
          </cell>
          <cell r="I177">
            <v>46.877000000000002</v>
          </cell>
          <cell r="J177">
            <v>-55.591000000000001</v>
          </cell>
          <cell r="K177">
            <v>226.86799999999999</v>
          </cell>
          <cell r="L177">
            <v>299.89600000000002</v>
          </cell>
          <cell r="M177">
            <v>526.76400000000001</v>
          </cell>
          <cell r="N177">
            <v>1430.326</v>
          </cell>
        </row>
        <row r="178">
          <cell r="A178" t="str">
            <v>2004/05</v>
          </cell>
          <cell r="B178" t="str">
            <v>Q3</v>
          </cell>
          <cell r="D178">
            <v>1430.326</v>
          </cell>
          <cell r="E178" t="str">
            <v>--</v>
          </cell>
          <cell r="F178">
            <v>17.774000000000001</v>
          </cell>
          <cell r="G178">
            <v>1448.1</v>
          </cell>
          <cell r="H178">
            <v>217.78200000000001</v>
          </cell>
          <cell r="I178">
            <v>2.2349999999999999</v>
          </cell>
          <cell r="J178">
            <v>3.3740000000000001</v>
          </cell>
          <cell r="K178">
            <v>223.39099999999999</v>
          </cell>
          <cell r="L178">
            <v>240.31800000000001</v>
          </cell>
          <cell r="M178">
            <v>463.709</v>
          </cell>
          <cell r="N178">
            <v>984.39099999999996</v>
          </cell>
        </row>
        <row r="179">
          <cell r="A179" t="str">
            <v>2004/05</v>
          </cell>
          <cell r="B179" t="str">
            <v>Q4</v>
          </cell>
          <cell r="D179">
            <v>984.39099999999996</v>
          </cell>
          <cell r="E179" t="str">
            <v>--</v>
          </cell>
          <cell r="F179">
            <v>16.698</v>
          </cell>
          <cell r="G179">
            <v>1001.0890000000001</v>
          </cell>
          <cell r="H179">
            <v>228.69800000000001</v>
          </cell>
          <cell r="I179">
            <v>24.411999999999999</v>
          </cell>
          <cell r="J179">
            <v>-31.006</v>
          </cell>
          <cell r="K179">
            <v>222.10400000000001</v>
          </cell>
          <cell r="L179">
            <v>238.88499999999999</v>
          </cell>
          <cell r="M179">
            <v>460.98899999999998</v>
          </cell>
          <cell r="N179">
            <v>540.1</v>
          </cell>
        </row>
        <row r="180">
          <cell r="A180" t="str">
            <v>2004/05</v>
          </cell>
          <cell r="B180" t="str">
            <v>MY</v>
          </cell>
          <cell r="D180">
            <v>546.43899999999996</v>
          </cell>
          <cell r="E180">
            <v>2156.79</v>
          </cell>
          <cell r="F180">
            <v>70.569999999999993</v>
          </cell>
          <cell r="G180">
            <v>2773.799</v>
          </cell>
          <cell r="H180">
            <v>909.55100000000004</v>
          </cell>
          <cell r="I180">
            <v>77.608999999999995</v>
          </cell>
          <cell r="J180">
            <v>180.62799999999999</v>
          </cell>
          <cell r="K180">
            <v>1167.788</v>
          </cell>
          <cell r="L180">
            <v>1065.9110000000001</v>
          </cell>
          <cell r="M180">
            <v>2233.6990000000001</v>
          </cell>
          <cell r="N180">
            <v>540.1</v>
          </cell>
        </row>
        <row r="181">
          <cell r="B181" t="str">
            <v/>
          </cell>
        </row>
        <row r="182">
          <cell r="A182" t="str">
            <v>2005/06</v>
          </cell>
          <cell r="B182" t="str">
            <v>Q1</v>
          </cell>
          <cell r="D182">
            <v>540.1</v>
          </cell>
          <cell r="E182">
            <v>2103.3249999999998</v>
          </cell>
          <cell r="F182">
            <v>18.574999999999999</v>
          </cell>
          <cell r="G182">
            <v>2662</v>
          </cell>
          <cell r="H182">
            <v>231.184</v>
          </cell>
          <cell r="I182">
            <v>1.72</v>
          </cell>
          <cell r="J182">
            <v>261.41199999999998</v>
          </cell>
          <cell r="K182">
            <v>494.31599999999997</v>
          </cell>
          <cell r="L182">
            <v>244.393</v>
          </cell>
          <cell r="M182">
            <v>738.70899999999995</v>
          </cell>
          <cell r="N182">
            <v>1923.2909999999999</v>
          </cell>
        </row>
        <row r="183">
          <cell r="A183" t="str">
            <v>2005/06</v>
          </cell>
          <cell r="B183" t="str">
            <v>Q2</v>
          </cell>
          <cell r="D183">
            <v>1923.2909999999999</v>
          </cell>
          <cell r="E183" t="str">
            <v>--</v>
          </cell>
          <cell r="F183">
            <v>20.338000000000001</v>
          </cell>
          <cell r="G183">
            <v>1943.6289999999999</v>
          </cell>
          <cell r="H183">
            <v>238.40100000000001</v>
          </cell>
          <cell r="I183">
            <v>50.156999999999996</v>
          </cell>
          <cell r="J183">
            <v>-60.612000000000002</v>
          </cell>
          <cell r="K183">
            <v>227.946</v>
          </cell>
          <cell r="L183">
            <v>286.25900000000001</v>
          </cell>
          <cell r="M183">
            <v>514.20500000000004</v>
          </cell>
          <cell r="N183">
            <v>1429.424</v>
          </cell>
        </row>
        <row r="184">
          <cell r="A184" t="str">
            <v>2005/06</v>
          </cell>
          <cell r="B184" t="str">
            <v>Q3</v>
          </cell>
          <cell r="D184">
            <v>1429.424</v>
          </cell>
          <cell r="E184" t="str">
            <v>--</v>
          </cell>
          <cell r="F184">
            <v>20.097999999999999</v>
          </cell>
          <cell r="G184">
            <v>1449.5219999999999</v>
          </cell>
          <cell r="H184">
            <v>219.35900000000001</v>
          </cell>
          <cell r="I184">
            <v>1.4379999999999999</v>
          </cell>
          <cell r="J184">
            <v>4.43</v>
          </cell>
          <cell r="K184">
            <v>225.227</v>
          </cell>
          <cell r="L184">
            <v>252.08</v>
          </cell>
          <cell r="M184">
            <v>477.30700000000002</v>
          </cell>
          <cell r="N184">
            <v>972.21500000000003</v>
          </cell>
        </row>
        <row r="185">
          <cell r="A185" t="str">
            <v>2005/06</v>
          </cell>
          <cell r="B185" t="str">
            <v>Q4</v>
          </cell>
          <cell r="D185">
            <v>972.21500000000003</v>
          </cell>
          <cell r="E185" t="str">
            <v>--</v>
          </cell>
          <cell r="F185">
            <v>22.344000000000001</v>
          </cell>
          <cell r="G185">
            <v>994.55899999999997</v>
          </cell>
          <cell r="H185">
            <v>228.17500000000001</v>
          </cell>
          <cell r="I185">
            <v>23.745999999999999</v>
          </cell>
          <cell r="J185">
            <v>-48.600999999999999</v>
          </cell>
          <cell r="K185">
            <v>203.32</v>
          </cell>
          <cell r="L185">
            <v>220.04900000000001</v>
          </cell>
          <cell r="M185">
            <v>423.36900000000003</v>
          </cell>
          <cell r="N185">
            <v>571.19000000000005</v>
          </cell>
        </row>
        <row r="186">
          <cell r="A186" t="str">
            <v>2005/06</v>
          </cell>
          <cell r="B186" t="str">
            <v>MY</v>
          </cell>
          <cell r="D186">
            <v>540.1</v>
          </cell>
          <cell r="E186">
            <v>2103.3249999999998</v>
          </cell>
          <cell r="F186">
            <v>81.355000000000004</v>
          </cell>
          <cell r="G186">
            <v>2724.78</v>
          </cell>
          <cell r="H186">
            <v>917.11900000000003</v>
          </cell>
          <cell r="I186">
            <v>77.061000000000007</v>
          </cell>
          <cell r="J186">
            <v>156.62899999999999</v>
          </cell>
          <cell r="K186">
            <v>1150.809</v>
          </cell>
          <cell r="L186">
            <v>1002.7809999999999</v>
          </cell>
          <cell r="M186">
            <v>2153.59</v>
          </cell>
          <cell r="N186">
            <v>571.19000000000005</v>
          </cell>
        </row>
        <row r="187">
          <cell r="B187" t="str">
            <v/>
          </cell>
        </row>
        <row r="188">
          <cell r="A188" t="str">
            <v>2006/07</v>
          </cell>
          <cell r="B188" t="str">
            <v>Q1</v>
          </cell>
          <cell r="D188">
            <v>571.19000000000005</v>
          </cell>
          <cell r="E188">
            <v>1808.4159999999999</v>
          </cell>
          <cell r="F188">
            <v>26.474</v>
          </cell>
          <cell r="G188">
            <v>2406.08</v>
          </cell>
          <cell r="H188">
            <v>234.96700000000001</v>
          </cell>
          <cell r="I188">
            <v>1.8939999999999999</v>
          </cell>
          <cell r="J188">
            <v>204.72300000000001</v>
          </cell>
          <cell r="K188">
            <v>441.584</v>
          </cell>
          <cell r="L188">
            <v>213.95099999999999</v>
          </cell>
          <cell r="M188">
            <v>655.53499999999997</v>
          </cell>
          <cell r="N188">
            <v>1750.5450000000001</v>
          </cell>
        </row>
        <row r="189">
          <cell r="A189" t="str">
            <v>2006/07</v>
          </cell>
          <cell r="B189" t="str">
            <v>Q2</v>
          </cell>
          <cell r="D189">
            <v>1750.5450000000001</v>
          </cell>
          <cell r="E189" t="str">
            <v>--</v>
          </cell>
          <cell r="F189">
            <v>29.456</v>
          </cell>
          <cell r="G189">
            <v>1780.001</v>
          </cell>
          <cell r="H189">
            <v>243.244</v>
          </cell>
          <cell r="I189">
            <v>56.414000000000001</v>
          </cell>
          <cell r="J189">
            <v>-46.537999999999997</v>
          </cell>
          <cell r="K189">
            <v>253.12</v>
          </cell>
          <cell r="L189">
            <v>212.22300000000001</v>
          </cell>
          <cell r="M189">
            <v>465.34300000000002</v>
          </cell>
          <cell r="N189">
            <v>1314.6579999999999</v>
          </cell>
        </row>
        <row r="190">
          <cell r="A190" t="str">
            <v>2006/07</v>
          </cell>
          <cell r="B190" t="str">
            <v>Q3</v>
          </cell>
          <cell r="D190">
            <v>1314.6579999999999</v>
          </cell>
          <cell r="E190" t="str">
            <v>--</v>
          </cell>
          <cell r="F190">
            <v>31.718</v>
          </cell>
          <cell r="G190">
            <v>1346.376</v>
          </cell>
          <cell r="H190">
            <v>225.327</v>
          </cell>
          <cell r="I190">
            <v>1.1120000000000001</v>
          </cell>
          <cell r="J190">
            <v>28.248999999999999</v>
          </cell>
          <cell r="K190">
            <v>254.68799999999999</v>
          </cell>
          <cell r="L190">
            <v>234.96</v>
          </cell>
          <cell r="M190">
            <v>489.64800000000002</v>
          </cell>
          <cell r="N190">
            <v>856.72799999999995</v>
          </cell>
        </row>
        <row r="191">
          <cell r="A191" t="str">
            <v>2006/07</v>
          </cell>
          <cell r="B191" t="str">
            <v>Q4</v>
          </cell>
          <cell r="D191">
            <v>856.72799999999995</v>
          </cell>
          <cell r="E191" t="str">
            <v>--</v>
          </cell>
          <cell r="F191">
            <v>34.213999999999999</v>
          </cell>
          <cell r="G191">
            <v>890.94200000000001</v>
          </cell>
          <cell r="H191">
            <v>234.37299999999999</v>
          </cell>
          <cell r="I191">
            <v>22.449000000000002</v>
          </cell>
          <cell r="J191">
            <v>-69.375</v>
          </cell>
          <cell r="K191">
            <v>187.447</v>
          </cell>
          <cell r="L191">
            <v>247.34200000000001</v>
          </cell>
          <cell r="M191">
            <v>434.78899999999999</v>
          </cell>
          <cell r="N191">
            <v>456.15300000000002</v>
          </cell>
        </row>
        <row r="192">
          <cell r="A192" t="str">
            <v>2006/07</v>
          </cell>
          <cell r="B192" t="str">
            <v>MY</v>
          </cell>
          <cell r="D192">
            <v>571.19000000000005</v>
          </cell>
          <cell r="E192">
            <v>1808.4159999999999</v>
          </cell>
          <cell r="F192">
            <v>121.86199999999999</v>
          </cell>
          <cell r="G192">
            <v>2501.4679999999998</v>
          </cell>
          <cell r="H192">
            <v>937.91099999999994</v>
          </cell>
          <cell r="I192">
            <v>81.869</v>
          </cell>
          <cell r="J192">
            <v>117.059</v>
          </cell>
          <cell r="K192">
            <v>1136.8389999999999</v>
          </cell>
          <cell r="L192">
            <v>908.476</v>
          </cell>
          <cell r="M192">
            <v>2045.3150000000001</v>
          </cell>
          <cell r="N192">
            <v>456.15300000000002</v>
          </cell>
        </row>
        <row r="193">
          <cell r="B193" t="str">
            <v/>
          </cell>
        </row>
        <row r="194">
          <cell r="A194" t="str">
            <v>2007/08</v>
          </cell>
          <cell r="B194" t="str">
            <v>Q1</v>
          </cell>
          <cell r="D194">
            <v>456.15300000000002</v>
          </cell>
          <cell r="E194">
            <v>2051.0880000000002</v>
          </cell>
          <cell r="F194">
            <v>30.388000000000002</v>
          </cell>
          <cell r="G194">
            <v>2537.6289999999999</v>
          </cell>
          <cell r="H194">
            <v>239.85</v>
          </cell>
          <cell r="I194">
            <v>1.395</v>
          </cell>
          <cell r="J194">
            <v>256.71800000000002</v>
          </cell>
          <cell r="K194">
            <v>497.96300000000002</v>
          </cell>
          <cell r="L194">
            <v>322.73899999999998</v>
          </cell>
          <cell r="M194">
            <v>820.702</v>
          </cell>
          <cell r="N194">
            <v>1716.9269999999999</v>
          </cell>
        </row>
        <row r="195">
          <cell r="A195" t="str">
            <v>2007/08</v>
          </cell>
          <cell r="B195" t="str">
            <v>Q2</v>
          </cell>
          <cell r="D195">
            <v>1716.9269999999999</v>
          </cell>
          <cell r="E195" t="str">
            <v>--</v>
          </cell>
          <cell r="F195">
            <v>21.486000000000001</v>
          </cell>
          <cell r="G195">
            <v>1738.413</v>
          </cell>
          <cell r="H195">
            <v>245.02600000000001</v>
          </cell>
          <cell r="I195">
            <v>59.914999999999999</v>
          </cell>
          <cell r="J195">
            <v>-119.88200000000001</v>
          </cell>
          <cell r="K195">
            <v>185.059</v>
          </cell>
          <cell r="L195">
            <v>421.416</v>
          </cell>
          <cell r="M195">
            <v>606.47500000000002</v>
          </cell>
          <cell r="N195">
            <v>1131.9380000000001</v>
          </cell>
        </row>
        <row r="196">
          <cell r="A196" t="str">
            <v>2007/08</v>
          </cell>
          <cell r="B196" t="str">
            <v>Q3</v>
          </cell>
          <cell r="D196">
            <v>1131.9380000000001</v>
          </cell>
          <cell r="E196" t="str">
            <v>--</v>
          </cell>
          <cell r="F196">
            <v>23.774999999999999</v>
          </cell>
          <cell r="G196">
            <v>1155.713</v>
          </cell>
          <cell r="H196">
            <v>227.44800000000001</v>
          </cell>
          <cell r="I196">
            <v>1.786</v>
          </cell>
          <cell r="J196">
            <v>-44.19</v>
          </cell>
          <cell r="K196">
            <v>185.04400000000001</v>
          </cell>
          <cell r="L196">
            <v>261.399</v>
          </cell>
          <cell r="M196">
            <v>446.44299999999998</v>
          </cell>
          <cell r="N196">
            <v>709.27</v>
          </cell>
        </row>
        <row r="197">
          <cell r="A197" t="str">
            <v>2007/08</v>
          </cell>
          <cell r="B197" t="str">
            <v>Q4</v>
          </cell>
          <cell r="D197">
            <v>709.27</v>
          </cell>
          <cell r="E197" t="str">
            <v>--</v>
          </cell>
          <cell r="F197">
            <v>36.981999999999999</v>
          </cell>
          <cell r="G197">
            <v>746.25199999999995</v>
          </cell>
          <cell r="H197">
            <v>235.541</v>
          </cell>
          <cell r="I197">
            <v>24.518999999999998</v>
          </cell>
          <cell r="J197">
            <v>-76.683999999999997</v>
          </cell>
          <cell r="K197">
            <v>183.376</v>
          </cell>
          <cell r="L197">
            <v>257.05799999999999</v>
          </cell>
          <cell r="M197">
            <v>440.43400000000003</v>
          </cell>
          <cell r="N197">
            <v>305.81799999999998</v>
          </cell>
        </row>
        <row r="198">
          <cell r="A198" t="str">
            <v>2007/08</v>
          </cell>
          <cell r="B198" t="str">
            <v>MY</v>
          </cell>
          <cell r="D198">
            <v>456.15300000000002</v>
          </cell>
          <cell r="E198">
            <v>2051.0880000000002</v>
          </cell>
          <cell r="F198">
            <v>112.631</v>
          </cell>
          <cell r="G198">
            <v>2619.8719999999998</v>
          </cell>
          <cell r="H198">
            <v>947.86500000000001</v>
          </cell>
          <cell r="I198">
            <v>87.614999999999995</v>
          </cell>
          <cell r="J198">
            <v>15.962</v>
          </cell>
          <cell r="K198">
            <v>1051.442</v>
          </cell>
          <cell r="L198">
            <v>1262.6120000000001</v>
          </cell>
          <cell r="M198">
            <v>2314.0540000000001</v>
          </cell>
          <cell r="N198">
            <v>305.81799999999998</v>
          </cell>
        </row>
        <row r="199">
          <cell r="B199" t="str">
            <v/>
          </cell>
        </row>
        <row r="200">
          <cell r="A200" t="str">
            <v>2008/09</v>
          </cell>
          <cell r="B200" t="str">
            <v>Q1</v>
          </cell>
          <cell r="D200">
            <v>305.81799999999998</v>
          </cell>
          <cell r="E200">
            <v>2511.8960000000002</v>
          </cell>
          <cell r="F200">
            <v>27.763999999999999</v>
          </cell>
          <cell r="G200">
            <v>2845.4780000000001</v>
          </cell>
          <cell r="H200">
            <v>236.19900000000001</v>
          </cell>
          <cell r="I200">
            <v>1.486</v>
          </cell>
          <cell r="J200">
            <v>405.40800000000002</v>
          </cell>
          <cell r="K200">
            <v>643.09299999999996</v>
          </cell>
          <cell r="L200">
            <v>344.50200000000001</v>
          </cell>
          <cell r="M200">
            <v>987.59500000000003</v>
          </cell>
          <cell r="N200">
            <v>1857.883</v>
          </cell>
        </row>
        <row r="201">
          <cell r="A201" t="str">
            <v>2008/09</v>
          </cell>
          <cell r="B201" t="str">
            <v>Q2</v>
          </cell>
          <cell r="D201">
            <v>1857.883</v>
          </cell>
          <cell r="E201" t="str">
            <v>--</v>
          </cell>
          <cell r="F201">
            <v>27.792000000000002</v>
          </cell>
          <cell r="G201">
            <v>1885.675</v>
          </cell>
          <cell r="H201">
            <v>238.42</v>
          </cell>
          <cell r="I201">
            <v>54.134999999999998</v>
          </cell>
          <cell r="J201">
            <v>-123.566</v>
          </cell>
          <cell r="K201">
            <v>168.989</v>
          </cell>
          <cell r="L201">
            <v>294.59699999999998</v>
          </cell>
          <cell r="M201">
            <v>463.58600000000001</v>
          </cell>
          <cell r="N201">
            <v>1422.0889999999999</v>
          </cell>
        </row>
        <row r="202">
          <cell r="A202" t="str">
            <v>2008/09</v>
          </cell>
          <cell r="B202" t="str">
            <v>Q3</v>
          </cell>
          <cell r="D202">
            <v>1422.0889999999999</v>
          </cell>
          <cell r="E202" t="str">
            <v>--</v>
          </cell>
          <cell r="F202">
            <v>36.401000000000003</v>
          </cell>
          <cell r="G202">
            <v>1458.49</v>
          </cell>
          <cell r="H202">
            <v>219.44499999999999</v>
          </cell>
          <cell r="I202">
            <v>1.4670000000000001</v>
          </cell>
          <cell r="J202">
            <v>27.594999999999999</v>
          </cell>
          <cell r="K202">
            <v>248.50700000000001</v>
          </cell>
          <cell r="L202">
            <v>169.91900000000001</v>
          </cell>
          <cell r="M202">
            <v>418.42599999999999</v>
          </cell>
          <cell r="N202">
            <v>1040.0640000000001</v>
          </cell>
        </row>
        <row r="203">
          <cell r="A203" t="str">
            <v>2008/09</v>
          </cell>
          <cell r="B203" t="str">
            <v>Q4</v>
          </cell>
          <cell r="D203">
            <v>1040.0640000000001</v>
          </cell>
          <cell r="E203" t="str">
            <v>--</v>
          </cell>
          <cell r="F203">
            <v>35.014000000000003</v>
          </cell>
          <cell r="G203">
            <v>1075.078</v>
          </cell>
          <cell r="H203">
            <v>232.70500000000001</v>
          </cell>
          <cell r="I203">
            <v>20.646000000000001</v>
          </cell>
          <cell r="J203">
            <v>-41.174999999999997</v>
          </cell>
          <cell r="K203">
            <v>212.17599999999999</v>
          </cell>
          <cell r="L203">
            <v>206.39699999999999</v>
          </cell>
          <cell r="M203">
            <v>418.57299999999998</v>
          </cell>
          <cell r="N203">
            <v>656.505</v>
          </cell>
        </row>
        <row r="204">
          <cell r="A204" t="str">
            <v>2008/09</v>
          </cell>
          <cell r="B204" t="str">
            <v>MY</v>
          </cell>
          <cell r="D204">
            <v>305.81799999999998</v>
          </cell>
          <cell r="E204">
            <v>2511.8960000000002</v>
          </cell>
          <cell r="F204">
            <v>126.971</v>
          </cell>
          <cell r="G204">
            <v>2944.6849999999999</v>
          </cell>
          <cell r="H204">
            <v>926.76900000000001</v>
          </cell>
          <cell r="I204">
            <v>77.733999999999995</v>
          </cell>
          <cell r="J204">
            <v>268.262</v>
          </cell>
          <cell r="K204">
            <v>1272.7650000000001</v>
          </cell>
          <cell r="L204">
            <v>1015.415</v>
          </cell>
          <cell r="M204">
            <v>2288.1799999999998</v>
          </cell>
          <cell r="N204">
            <v>656.505</v>
          </cell>
        </row>
        <row r="205">
          <cell r="B205" t="str">
            <v/>
          </cell>
        </row>
        <row r="206">
          <cell r="A206" t="str">
            <v>2009/10</v>
          </cell>
          <cell r="B206" t="str">
            <v>Q1</v>
          </cell>
          <cell r="D206">
            <v>656.505</v>
          </cell>
          <cell r="E206">
            <v>2208.9180000000001</v>
          </cell>
          <cell r="F206">
            <v>27.611999999999998</v>
          </cell>
          <cell r="G206">
            <v>2893.0349999999999</v>
          </cell>
          <cell r="H206">
            <v>231.21700000000001</v>
          </cell>
          <cell r="I206">
            <v>1.4379999999999999</v>
          </cell>
          <cell r="J206">
            <v>251.376</v>
          </cell>
          <cell r="K206">
            <v>484.03100000000001</v>
          </cell>
          <cell r="L206">
            <v>199.666</v>
          </cell>
          <cell r="M206">
            <v>683.697</v>
          </cell>
          <cell r="N206">
            <v>2209.3380000000002</v>
          </cell>
        </row>
        <row r="207">
          <cell r="A207" t="str">
            <v>2009/10</v>
          </cell>
          <cell r="B207" t="str">
            <v>Q2</v>
          </cell>
          <cell r="D207">
            <v>2209.3380000000002</v>
          </cell>
          <cell r="E207" t="str">
            <v>--</v>
          </cell>
          <cell r="F207">
            <v>24.262</v>
          </cell>
          <cell r="G207">
            <v>2233.6</v>
          </cell>
          <cell r="H207">
            <v>236.946</v>
          </cell>
          <cell r="I207">
            <v>44.32</v>
          </cell>
          <cell r="J207">
            <v>-81.435000000000002</v>
          </cell>
          <cell r="K207">
            <v>199.83099999999999</v>
          </cell>
          <cell r="L207">
            <v>252.078</v>
          </cell>
          <cell r="M207">
            <v>451.90899999999999</v>
          </cell>
          <cell r="N207">
            <v>1781.691</v>
          </cell>
        </row>
        <row r="208">
          <cell r="A208" t="str">
            <v>2009/10</v>
          </cell>
          <cell r="B208" t="str">
            <v>Q3</v>
          </cell>
          <cell r="D208">
            <v>1781.691</v>
          </cell>
          <cell r="E208" t="str">
            <v>--</v>
          </cell>
          <cell r="F208">
            <v>29.888000000000002</v>
          </cell>
          <cell r="G208">
            <v>1811.579</v>
          </cell>
          <cell r="H208">
            <v>221.643</v>
          </cell>
          <cell r="I208">
            <v>1.105</v>
          </cell>
          <cell r="J208">
            <v>31.457999999999998</v>
          </cell>
          <cell r="K208">
            <v>254.20599999999999</v>
          </cell>
          <cell r="L208">
            <v>201.01599999999999</v>
          </cell>
          <cell r="M208">
            <v>455.22199999999998</v>
          </cell>
          <cell r="N208">
            <v>1356.357</v>
          </cell>
        </row>
        <row r="209">
          <cell r="A209" t="str">
            <v>2009/10</v>
          </cell>
          <cell r="B209" t="str">
            <v>Q4</v>
          </cell>
          <cell r="D209">
            <v>1356.357</v>
          </cell>
          <cell r="E209" t="str">
            <v>--</v>
          </cell>
          <cell r="F209">
            <v>36.828000000000003</v>
          </cell>
          <cell r="G209">
            <v>1393.1849999999999</v>
          </cell>
          <cell r="H209">
            <v>229.114</v>
          </cell>
          <cell r="I209">
            <v>21.1</v>
          </cell>
          <cell r="J209">
            <v>-59.203000000000003</v>
          </cell>
          <cell r="K209">
            <v>191.011</v>
          </cell>
          <cell r="L209">
            <v>226.53700000000001</v>
          </cell>
          <cell r="M209">
            <v>417.548</v>
          </cell>
          <cell r="N209">
            <v>975.63699999999994</v>
          </cell>
        </row>
        <row r="210">
          <cell r="A210" t="str">
            <v>2009/10</v>
          </cell>
          <cell r="B210" t="str">
            <v>MY</v>
          </cell>
          <cell r="D210">
            <v>656.505</v>
          </cell>
          <cell r="E210">
            <v>2208.9180000000001</v>
          </cell>
          <cell r="F210">
            <v>118.59</v>
          </cell>
          <cell r="G210">
            <v>2984.0129999999999</v>
          </cell>
          <cell r="H210">
            <v>918.92</v>
          </cell>
          <cell r="I210">
            <v>67.962999999999994</v>
          </cell>
          <cell r="J210">
            <v>142.196</v>
          </cell>
          <cell r="K210">
            <v>1129.079</v>
          </cell>
          <cell r="L210">
            <v>879.29700000000003</v>
          </cell>
          <cell r="M210">
            <v>2008.376</v>
          </cell>
          <cell r="N210">
            <v>975.63699999999994</v>
          </cell>
        </row>
        <row r="211">
          <cell r="B211" t="str">
            <v/>
          </cell>
        </row>
        <row r="212">
          <cell r="A212" t="str">
            <v>2010/11</v>
          </cell>
          <cell r="B212" t="str">
            <v>Q1</v>
          </cell>
          <cell r="D212">
            <v>975.63699999999994</v>
          </cell>
          <cell r="E212">
            <v>2163.0230000000001</v>
          </cell>
          <cell r="F212">
            <v>27.498000000000001</v>
          </cell>
          <cell r="G212">
            <v>3166.1579999999999</v>
          </cell>
          <cell r="H212">
            <v>234.76499999999999</v>
          </cell>
          <cell r="I212">
            <v>1.496</v>
          </cell>
          <cell r="J212">
            <v>215.018</v>
          </cell>
          <cell r="K212">
            <v>451.279</v>
          </cell>
          <cell r="L212">
            <v>265.262</v>
          </cell>
          <cell r="M212">
            <v>716.54100000000005</v>
          </cell>
          <cell r="N212">
            <v>2449.6170000000002</v>
          </cell>
        </row>
        <row r="213">
          <cell r="A213" t="str">
            <v>2010/11</v>
          </cell>
          <cell r="B213" t="str">
            <v>Q2</v>
          </cell>
          <cell r="D213">
            <v>2449.6170000000002</v>
          </cell>
          <cell r="E213" t="str">
            <v>--</v>
          </cell>
          <cell r="F213">
            <v>23.763000000000002</v>
          </cell>
          <cell r="G213">
            <v>2473.38</v>
          </cell>
          <cell r="H213">
            <v>241.76499999999999</v>
          </cell>
          <cell r="I213">
            <v>51.426000000000002</v>
          </cell>
          <cell r="J213">
            <v>-63.290999999999997</v>
          </cell>
          <cell r="K213">
            <v>229.9</v>
          </cell>
          <cell r="L213">
            <v>310.53399999999999</v>
          </cell>
          <cell r="M213">
            <v>540.43399999999997</v>
          </cell>
          <cell r="N213">
            <v>1932.9459999999999</v>
          </cell>
        </row>
        <row r="214">
          <cell r="A214" t="str">
            <v>2010/11</v>
          </cell>
          <cell r="B214" t="str">
            <v>Q3</v>
          </cell>
          <cell r="D214">
            <v>1932.9459999999999</v>
          </cell>
          <cell r="E214" t="str">
            <v>--</v>
          </cell>
          <cell r="F214">
            <v>23.297999999999998</v>
          </cell>
          <cell r="G214">
            <v>1956.2439999999999</v>
          </cell>
          <cell r="H214">
            <v>220.89599999999999</v>
          </cell>
          <cell r="I214">
            <v>1.3280000000000001</v>
          </cell>
          <cell r="J214">
            <v>0.36599999999999999</v>
          </cell>
          <cell r="K214">
            <v>222.59</v>
          </cell>
          <cell r="L214">
            <v>308.35199999999998</v>
          </cell>
          <cell r="M214">
            <v>530.94200000000001</v>
          </cell>
          <cell r="N214">
            <v>1425.3019999999999</v>
          </cell>
        </row>
        <row r="215">
          <cell r="A215" t="str">
            <v>2010/11</v>
          </cell>
          <cell r="B215" t="str">
            <v>Q4</v>
          </cell>
          <cell r="D215">
            <v>1425.3019999999999</v>
          </cell>
          <cell r="E215" t="str">
            <v>--</v>
          </cell>
          <cell r="F215">
            <v>22.359000000000002</v>
          </cell>
          <cell r="G215">
            <v>1447.6610000000001</v>
          </cell>
          <cell r="H215">
            <v>228.215</v>
          </cell>
          <cell r="I215">
            <v>16.411000000000001</v>
          </cell>
          <cell r="J215">
            <v>-67.260999999999996</v>
          </cell>
          <cell r="K215">
            <v>177.36500000000001</v>
          </cell>
          <cell r="L215">
            <v>407.298</v>
          </cell>
          <cell r="M215">
            <v>584.66300000000001</v>
          </cell>
          <cell r="N215">
            <v>862.99800000000005</v>
          </cell>
        </row>
        <row r="216">
          <cell r="A216" t="str">
            <v>2010/11</v>
          </cell>
          <cell r="B216" t="str">
            <v>MY</v>
          </cell>
          <cell r="D216">
            <v>975.63699999999994</v>
          </cell>
          <cell r="E216">
            <v>2163.0230000000001</v>
          </cell>
          <cell r="F216">
            <v>96.918000000000006</v>
          </cell>
          <cell r="G216">
            <v>3235.578</v>
          </cell>
          <cell r="H216">
            <v>925.64099999999996</v>
          </cell>
          <cell r="I216">
            <v>70.661000000000001</v>
          </cell>
          <cell r="J216">
            <v>84.831999999999994</v>
          </cell>
          <cell r="K216">
            <v>1081.134</v>
          </cell>
          <cell r="L216">
            <v>1291.4459999999999</v>
          </cell>
          <cell r="M216">
            <v>2372.58</v>
          </cell>
          <cell r="N216">
            <v>862.99800000000005</v>
          </cell>
        </row>
        <row r="217">
          <cell r="B217" t="str">
            <v/>
          </cell>
        </row>
        <row r="218">
          <cell r="A218" t="str">
            <v>2011/12</v>
          </cell>
          <cell r="B218" t="str">
            <v>Q1</v>
          </cell>
          <cell r="D218">
            <v>862.99800000000005</v>
          </cell>
          <cell r="E218">
            <v>1993.1110000000001</v>
          </cell>
          <cell r="F218">
            <v>20.821000000000002</v>
          </cell>
          <cell r="G218">
            <v>2876.93</v>
          </cell>
          <cell r="H218">
            <v>230</v>
          </cell>
          <cell r="I218">
            <v>4.681</v>
          </cell>
          <cell r="J218">
            <v>200.78100000000001</v>
          </cell>
          <cell r="K218">
            <v>435.46199999999999</v>
          </cell>
          <cell r="L218">
            <v>294.79899999999998</v>
          </cell>
          <cell r="M218">
            <v>730.26099999999997</v>
          </cell>
          <cell r="N218">
            <v>2146.6689999999999</v>
          </cell>
        </row>
        <row r="219">
          <cell r="A219" t="str">
            <v>2011/12</v>
          </cell>
          <cell r="B219" t="str">
            <v>Q2</v>
          </cell>
          <cell r="D219">
            <v>2146.6689999999999</v>
          </cell>
          <cell r="E219" t="str">
            <v>--</v>
          </cell>
          <cell r="F219">
            <v>32.268999999999998</v>
          </cell>
          <cell r="G219">
            <v>2178.9380000000001</v>
          </cell>
          <cell r="H219">
            <v>244</v>
          </cell>
          <cell r="I219">
            <v>50.954000000000001</v>
          </cell>
          <cell r="J219">
            <v>-16.443000000000001</v>
          </cell>
          <cell r="K219">
            <v>278.51100000000002</v>
          </cell>
          <cell r="L219">
            <v>237.90899999999999</v>
          </cell>
          <cell r="M219">
            <v>516.41999999999996</v>
          </cell>
          <cell r="N219">
            <v>1662.518</v>
          </cell>
        </row>
        <row r="220">
          <cell r="A220" t="str">
            <v>2011/12</v>
          </cell>
          <cell r="B220" t="str">
            <v>Q3</v>
          </cell>
          <cell r="D220">
            <v>1662.518</v>
          </cell>
          <cell r="E220" t="str">
            <v>--</v>
          </cell>
          <cell r="F220">
            <v>30.355</v>
          </cell>
          <cell r="G220">
            <v>1692.873</v>
          </cell>
          <cell r="H220">
            <v>230.91900000000001</v>
          </cell>
          <cell r="I220">
            <v>1.405</v>
          </cell>
          <cell r="J220">
            <v>43.889000000000003</v>
          </cell>
          <cell r="K220">
            <v>276.21300000000002</v>
          </cell>
          <cell r="L220">
            <v>217.315</v>
          </cell>
          <cell r="M220">
            <v>493.52800000000002</v>
          </cell>
          <cell r="N220">
            <v>1199.345</v>
          </cell>
        </row>
        <row r="221">
          <cell r="A221" t="str">
            <v>2011/12</v>
          </cell>
          <cell r="B221" t="str">
            <v>Q4</v>
          </cell>
          <cell r="D221">
            <v>1199.345</v>
          </cell>
          <cell r="E221" t="str">
            <v>--</v>
          </cell>
          <cell r="F221">
            <v>29.670999999999999</v>
          </cell>
          <cell r="G221">
            <v>1229.0160000000001</v>
          </cell>
          <cell r="H221">
            <v>236.46799999999999</v>
          </cell>
          <cell r="I221">
            <v>18.547999999999998</v>
          </cell>
          <cell r="J221">
            <v>-69.688000000000002</v>
          </cell>
          <cell r="K221">
            <v>185.328</v>
          </cell>
          <cell r="L221">
            <v>301.06799999999998</v>
          </cell>
          <cell r="M221">
            <v>486.39600000000002</v>
          </cell>
          <cell r="N221">
            <v>742.62</v>
          </cell>
        </row>
        <row r="222">
          <cell r="A222" t="str">
            <v>2011/12</v>
          </cell>
          <cell r="B222" t="str">
            <v>MY</v>
          </cell>
          <cell r="D222">
            <v>862.99800000000005</v>
          </cell>
          <cell r="E222">
            <v>1993.1110000000001</v>
          </cell>
          <cell r="F222">
            <v>113.116</v>
          </cell>
          <cell r="G222">
            <v>2969.2249999999999</v>
          </cell>
          <cell r="H222">
            <v>941.38699999999994</v>
          </cell>
          <cell r="I222">
            <v>75.587999999999994</v>
          </cell>
          <cell r="J222">
            <v>158.53899999999999</v>
          </cell>
          <cell r="K222">
            <v>1175.5139999999999</v>
          </cell>
          <cell r="L222">
            <v>1051.0909999999999</v>
          </cell>
          <cell r="M222">
            <v>2226.605</v>
          </cell>
          <cell r="N222">
            <v>742.62</v>
          </cell>
        </row>
        <row r="223">
          <cell r="B223" t="str">
            <v/>
          </cell>
        </row>
        <row r="224">
          <cell r="A224" t="str">
            <v>2012/13</v>
          </cell>
          <cell r="B224" t="str">
            <v>Q1</v>
          </cell>
          <cell r="D224">
            <v>742.62</v>
          </cell>
          <cell r="E224">
            <v>2252.3069999999998</v>
          </cell>
          <cell r="F224">
            <v>25.510999999999999</v>
          </cell>
          <cell r="G224">
            <v>3020.4380000000001</v>
          </cell>
          <cell r="H224">
            <v>237.59800000000001</v>
          </cell>
          <cell r="I224">
            <v>1.3919999999999999</v>
          </cell>
          <cell r="J224">
            <v>402.67200000000003</v>
          </cell>
          <cell r="K224">
            <v>641.66200000000003</v>
          </cell>
          <cell r="L224">
            <v>263.66699999999997</v>
          </cell>
          <cell r="M224">
            <v>905.32899999999995</v>
          </cell>
          <cell r="N224">
            <v>2115.1089999999999</v>
          </cell>
        </row>
        <row r="225">
          <cell r="A225" t="str">
            <v>2012/13</v>
          </cell>
          <cell r="B225" t="str">
            <v>Q2</v>
          </cell>
          <cell r="D225">
            <v>2115.1089999999999</v>
          </cell>
          <cell r="E225" t="str">
            <v>--</v>
          </cell>
          <cell r="F225">
            <v>32.936999999999998</v>
          </cell>
          <cell r="G225">
            <v>2148.0459999999998</v>
          </cell>
          <cell r="H225">
            <v>246.59700000000001</v>
          </cell>
          <cell r="I225">
            <v>55.357999999999997</v>
          </cell>
          <cell r="J225">
            <v>-22.38</v>
          </cell>
          <cell r="K225">
            <v>279.57499999999999</v>
          </cell>
          <cell r="L225">
            <v>197.892</v>
          </cell>
          <cell r="M225">
            <v>477.46699999999998</v>
          </cell>
          <cell r="N225">
            <v>1670.579</v>
          </cell>
        </row>
        <row r="226">
          <cell r="A226" t="str">
            <v>2012/13</v>
          </cell>
          <cell r="B226" t="str">
            <v>Q3</v>
          </cell>
          <cell r="D226">
            <v>1670.579</v>
          </cell>
          <cell r="E226" t="str">
            <v>--</v>
          </cell>
          <cell r="F226">
            <v>34.695</v>
          </cell>
          <cell r="G226">
            <v>1705.2739999999999</v>
          </cell>
          <cell r="H226">
            <v>228.96899999999999</v>
          </cell>
          <cell r="I226">
            <v>1.377</v>
          </cell>
          <cell r="J226">
            <v>4.9450000000000003</v>
          </cell>
          <cell r="K226">
            <v>235.291</v>
          </cell>
          <cell r="L226">
            <v>235.15299999999999</v>
          </cell>
          <cell r="M226">
            <v>470.44400000000002</v>
          </cell>
          <cell r="N226">
            <v>1234.83</v>
          </cell>
        </row>
        <row r="227">
          <cell r="A227" t="str">
            <v>2012/13</v>
          </cell>
          <cell r="B227" t="str">
            <v>Q4</v>
          </cell>
          <cell r="D227">
            <v>1234.83</v>
          </cell>
          <cell r="E227" t="str">
            <v>--</v>
          </cell>
          <cell r="F227">
            <v>31.173999999999999</v>
          </cell>
          <cell r="G227">
            <v>1266.0039999999999</v>
          </cell>
          <cell r="H227">
            <v>237.648</v>
          </cell>
          <cell r="I227">
            <v>15.01</v>
          </cell>
          <cell r="J227">
            <v>-19.896999999999998</v>
          </cell>
          <cell r="K227">
            <v>232.761</v>
          </cell>
          <cell r="L227">
            <v>315.35399999999998</v>
          </cell>
          <cell r="M227">
            <v>548.11500000000001</v>
          </cell>
          <cell r="N227">
            <v>717.88900000000001</v>
          </cell>
        </row>
        <row r="228">
          <cell r="A228" t="str">
            <v>2012/13</v>
          </cell>
          <cell r="B228" t="str">
            <v>MY</v>
          </cell>
          <cell r="D228">
            <v>742.62</v>
          </cell>
          <cell r="E228">
            <v>2252.3069999999998</v>
          </cell>
          <cell r="F228">
            <v>124.31699999999999</v>
          </cell>
          <cell r="G228">
            <v>3119.2440000000001</v>
          </cell>
          <cell r="H228">
            <v>950.81200000000001</v>
          </cell>
          <cell r="I228">
            <v>73.137</v>
          </cell>
          <cell r="J228">
            <v>365.34</v>
          </cell>
          <cell r="K228">
            <v>1389.289</v>
          </cell>
          <cell r="L228">
            <v>1012.066</v>
          </cell>
          <cell r="M228">
            <v>2401.355</v>
          </cell>
          <cell r="N228">
            <v>717.88900000000001</v>
          </cell>
        </row>
        <row r="229">
          <cell r="B229" t="str">
            <v/>
          </cell>
        </row>
        <row r="230">
          <cell r="A230" t="str">
            <v>2013/14</v>
          </cell>
          <cell r="B230" t="str">
            <v>Q1</v>
          </cell>
          <cell r="D230">
            <v>717.88900000000001</v>
          </cell>
          <cell r="E230">
            <v>2134.9789999999998</v>
          </cell>
          <cell r="F230">
            <v>35.655000000000001</v>
          </cell>
          <cell r="G230">
            <v>2888.5230000000001</v>
          </cell>
          <cell r="H230">
            <v>234.82300000000001</v>
          </cell>
          <cell r="I230">
            <v>4.1159999999999997</v>
          </cell>
          <cell r="J230">
            <v>422.41300000000001</v>
          </cell>
          <cell r="K230">
            <v>661.35199999999998</v>
          </cell>
          <cell r="L230">
            <v>357.53399999999999</v>
          </cell>
          <cell r="M230">
            <v>1018.886</v>
          </cell>
          <cell r="N230">
            <v>1869.6369999999999</v>
          </cell>
        </row>
        <row r="231">
          <cell r="A231" t="str">
            <v>2013/14</v>
          </cell>
          <cell r="B231" t="str">
            <v>Q2</v>
          </cell>
          <cell r="D231">
            <v>1869.6369999999999</v>
          </cell>
          <cell r="E231" t="str">
            <v>--</v>
          </cell>
          <cell r="F231">
            <v>48.024999999999999</v>
          </cell>
          <cell r="G231">
            <v>1917.662</v>
          </cell>
          <cell r="H231">
            <v>249.3</v>
          </cell>
          <cell r="I231">
            <v>52.658999999999999</v>
          </cell>
          <cell r="J231">
            <v>-167.96700000000001</v>
          </cell>
          <cell r="K231">
            <v>133.99199999999999</v>
          </cell>
          <cell r="L231">
            <v>308.81900000000002</v>
          </cell>
          <cell r="M231">
            <v>442.81099999999998</v>
          </cell>
          <cell r="N231">
            <v>1474.8510000000001</v>
          </cell>
        </row>
        <row r="232">
          <cell r="A232" t="str">
            <v>2013/14</v>
          </cell>
          <cell r="B232" t="str">
            <v>Q3</v>
          </cell>
          <cell r="D232">
            <v>1474.8510000000001</v>
          </cell>
          <cell r="E232" t="str">
            <v>--</v>
          </cell>
          <cell r="F232">
            <v>42.039000000000001</v>
          </cell>
          <cell r="G232">
            <v>1516.89</v>
          </cell>
          <cell r="H232">
            <v>231.07599999999999</v>
          </cell>
          <cell r="I232">
            <v>1.944</v>
          </cell>
          <cell r="J232">
            <v>-0.84599999999999997</v>
          </cell>
          <cell r="K232">
            <v>232.17400000000001</v>
          </cell>
          <cell r="L232">
            <v>227.751</v>
          </cell>
          <cell r="M232">
            <v>459.92500000000001</v>
          </cell>
          <cell r="N232">
            <v>1056.9649999999999</v>
          </cell>
        </row>
        <row r="233">
          <cell r="A233" t="str">
            <v>2013/14</v>
          </cell>
          <cell r="B233" t="str">
            <v>Q4</v>
          </cell>
          <cell r="D233">
            <v>1056.9649999999999</v>
          </cell>
          <cell r="E233" t="str">
            <v>--</v>
          </cell>
          <cell r="F233">
            <v>46.747999999999998</v>
          </cell>
          <cell r="G233">
            <v>1103.713</v>
          </cell>
          <cell r="H233">
            <v>239.904</v>
          </cell>
          <cell r="I233">
            <v>14.945</v>
          </cell>
          <cell r="J233">
            <v>-23.538</v>
          </cell>
          <cell r="K233">
            <v>231.31100000000001</v>
          </cell>
          <cell r="L233">
            <v>282.11900000000003</v>
          </cell>
          <cell r="M233">
            <v>513.42999999999995</v>
          </cell>
          <cell r="N233">
            <v>590.28300000000002</v>
          </cell>
        </row>
        <row r="234">
          <cell r="A234" t="str">
            <v>2013/14</v>
          </cell>
          <cell r="B234" t="str">
            <v>MY</v>
          </cell>
          <cell r="D234">
            <v>717.88900000000001</v>
          </cell>
          <cell r="E234">
            <v>2134.9789999999998</v>
          </cell>
          <cell r="F234">
            <v>172.46700000000001</v>
          </cell>
          <cell r="G234">
            <v>3025.335</v>
          </cell>
          <cell r="H234">
            <v>955.10299999999995</v>
          </cell>
          <cell r="I234">
            <v>73.664000000000001</v>
          </cell>
          <cell r="J234">
            <v>230.06200000000001</v>
          </cell>
          <cell r="K234">
            <v>1258.829</v>
          </cell>
          <cell r="L234">
            <v>1176.223</v>
          </cell>
          <cell r="M234">
            <v>2435.0520000000001</v>
          </cell>
          <cell r="N234">
            <v>590.28300000000002</v>
          </cell>
        </row>
        <row r="235">
          <cell r="B235" t="str">
            <v/>
          </cell>
        </row>
        <row r="236">
          <cell r="A236" t="str">
            <v>2014/15</v>
          </cell>
          <cell r="B236" t="str">
            <v>Q1</v>
          </cell>
          <cell r="D236">
            <v>590.28300000000002</v>
          </cell>
          <cell r="E236">
            <v>2026.31</v>
          </cell>
          <cell r="F236">
            <v>44.167000000000002</v>
          </cell>
          <cell r="G236">
            <v>2660.76</v>
          </cell>
          <cell r="H236">
            <v>238.91800000000001</v>
          </cell>
          <cell r="I236">
            <v>6.4180000000000001</v>
          </cell>
          <cell r="J236">
            <v>255.69399999999999</v>
          </cell>
          <cell r="K236">
            <v>501.03</v>
          </cell>
          <cell r="L236">
            <v>252.51</v>
          </cell>
          <cell r="M236">
            <v>753.54</v>
          </cell>
          <cell r="N236">
            <v>1907.22</v>
          </cell>
        </row>
        <row r="237">
          <cell r="A237" t="str">
            <v>2014/15</v>
          </cell>
          <cell r="B237" t="str">
            <v>Q2</v>
          </cell>
          <cell r="D237">
            <v>1907.22</v>
          </cell>
          <cell r="E237" t="str">
            <v>--</v>
          </cell>
          <cell r="F237">
            <v>34.551000000000002</v>
          </cell>
          <cell r="G237">
            <v>1941.771</v>
          </cell>
          <cell r="H237">
            <v>248.18700000000001</v>
          </cell>
          <cell r="I237">
            <v>48.802</v>
          </cell>
          <cell r="J237">
            <v>-92.584999999999994</v>
          </cell>
          <cell r="K237">
            <v>204.404</v>
          </cell>
          <cell r="L237">
            <v>207.73699999999999</v>
          </cell>
          <cell r="M237">
            <v>412.14100000000002</v>
          </cell>
          <cell r="N237">
            <v>1529.63</v>
          </cell>
        </row>
        <row r="238">
          <cell r="A238" t="str">
            <v>2014/15</v>
          </cell>
          <cell r="B238" t="str">
            <v>Q3</v>
          </cell>
          <cell r="D238">
            <v>1529.63</v>
          </cell>
          <cell r="E238" t="str">
            <v>--</v>
          </cell>
          <cell r="F238">
            <v>36.735999999999997</v>
          </cell>
          <cell r="G238">
            <v>1566.366</v>
          </cell>
          <cell r="H238">
            <v>230.85</v>
          </cell>
          <cell r="I238">
            <v>2.105</v>
          </cell>
          <cell r="J238">
            <v>7.9279999999999999</v>
          </cell>
          <cell r="K238">
            <v>240.88300000000001</v>
          </cell>
          <cell r="L238">
            <v>185.07599999999999</v>
          </cell>
          <cell r="M238">
            <v>425.959</v>
          </cell>
          <cell r="N238">
            <v>1140.4069999999999</v>
          </cell>
        </row>
        <row r="239">
          <cell r="A239" t="str">
            <v>2014/15</v>
          </cell>
          <cell r="B239" t="str">
            <v>Q4</v>
          </cell>
          <cell r="D239">
            <v>1140.4069999999999</v>
          </cell>
          <cell r="E239" t="str">
            <v>--</v>
          </cell>
          <cell r="F239">
            <v>35.792000000000002</v>
          </cell>
          <cell r="G239">
            <v>1176.1990000000001</v>
          </cell>
          <cell r="H239">
            <v>240.33</v>
          </cell>
          <cell r="I239">
            <v>22.088999999999999</v>
          </cell>
          <cell r="J239">
            <v>-57.627000000000002</v>
          </cell>
          <cell r="K239">
            <v>204.792</v>
          </cell>
          <cell r="L239">
            <v>219.01300000000001</v>
          </cell>
          <cell r="M239">
            <v>423.80500000000001</v>
          </cell>
          <cell r="N239">
            <v>752.39400000000001</v>
          </cell>
        </row>
        <row r="240">
          <cell r="A240" t="str">
            <v>2014/15</v>
          </cell>
          <cell r="B240" t="str">
            <v>MY</v>
          </cell>
          <cell r="D240">
            <v>590.28300000000002</v>
          </cell>
          <cell r="E240">
            <v>2026.31</v>
          </cell>
          <cell r="F240">
            <v>151.24600000000001</v>
          </cell>
          <cell r="G240">
            <v>2767.8389999999999</v>
          </cell>
          <cell r="H240">
            <v>958.28499999999997</v>
          </cell>
          <cell r="I240">
            <v>79.414000000000001</v>
          </cell>
          <cell r="J240">
            <v>113.41</v>
          </cell>
          <cell r="K240">
            <v>1151.1089999999999</v>
          </cell>
          <cell r="L240">
            <v>864.33600000000001</v>
          </cell>
          <cell r="M240">
            <v>2015.4449999999999</v>
          </cell>
          <cell r="N240">
            <v>752.39400000000001</v>
          </cell>
        </row>
        <row r="241">
          <cell r="B241" t="str">
            <v/>
          </cell>
        </row>
        <row r="242">
          <cell r="A242" t="str">
            <v>2015/16</v>
          </cell>
          <cell r="B242" t="str">
            <v>Q1</v>
          </cell>
          <cell r="D242">
            <v>752.39400000000001</v>
          </cell>
          <cell r="E242">
            <v>2061.9389999999999</v>
          </cell>
          <cell r="F242">
            <v>26.533999999999999</v>
          </cell>
          <cell r="G242">
            <v>2840.8670000000002</v>
          </cell>
          <cell r="H242">
            <v>240.245</v>
          </cell>
          <cell r="I242">
            <v>0.95599999999999996</v>
          </cell>
          <cell r="J242">
            <v>297.82600000000002</v>
          </cell>
          <cell r="K242">
            <v>539.02700000000004</v>
          </cell>
          <cell r="L242">
            <v>204.751</v>
          </cell>
          <cell r="M242">
            <v>743.77800000000002</v>
          </cell>
          <cell r="N242">
            <v>2097.0889999999999</v>
          </cell>
        </row>
        <row r="243">
          <cell r="A243" t="str">
            <v>2015/16</v>
          </cell>
          <cell r="B243" t="str">
            <v>Q2</v>
          </cell>
          <cell r="D243">
            <v>2097.0889999999999</v>
          </cell>
          <cell r="E243" t="str">
            <v>--</v>
          </cell>
          <cell r="F243">
            <v>27.044</v>
          </cell>
          <cell r="G243">
            <v>2124.1329999999998</v>
          </cell>
          <cell r="H243">
            <v>248.768</v>
          </cell>
          <cell r="I243">
            <v>44.23</v>
          </cell>
          <cell r="J243">
            <v>-107.2</v>
          </cell>
          <cell r="K243">
            <v>185.798</v>
          </cell>
          <cell r="L243">
            <v>192.428</v>
          </cell>
          <cell r="M243">
            <v>378.226</v>
          </cell>
          <cell r="N243">
            <v>1745.9069999999999</v>
          </cell>
        </row>
        <row r="244">
          <cell r="A244" t="str">
            <v>2015/16</v>
          </cell>
          <cell r="B244" t="str">
            <v>Q3</v>
          </cell>
          <cell r="D244">
            <v>1745.9069999999999</v>
          </cell>
          <cell r="E244" t="str">
            <v>--</v>
          </cell>
          <cell r="F244">
            <v>34.354999999999997</v>
          </cell>
          <cell r="G244">
            <v>1780.2619999999999</v>
          </cell>
          <cell r="H244">
            <v>229.542</v>
          </cell>
          <cell r="I244">
            <v>1.6910000000000001</v>
          </cell>
          <cell r="J244">
            <v>2.214</v>
          </cell>
          <cell r="K244">
            <v>233.447</v>
          </cell>
          <cell r="L244">
            <v>175.15299999999999</v>
          </cell>
          <cell r="M244">
            <v>408.6</v>
          </cell>
          <cell r="N244">
            <v>1371.662</v>
          </cell>
        </row>
        <row r="245">
          <cell r="A245" t="str">
            <v>2015/16</v>
          </cell>
          <cell r="B245" t="str">
            <v>Q4</v>
          </cell>
          <cell r="D245">
            <v>1371.662</v>
          </cell>
          <cell r="E245" t="str">
            <v>--</v>
          </cell>
          <cell r="F245">
            <v>24.83</v>
          </cell>
          <cell r="G245">
            <v>1396.492</v>
          </cell>
          <cell r="H245">
            <v>238.60400000000001</v>
          </cell>
          <cell r="I245">
            <v>20.283999999999999</v>
          </cell>
          <cell r="J245">
            <v>-43.46</v>
          </cell>
          <cell r="K245">
            <v>215.428</v>
          </cell>
          <cell r="L245">
            <v>205.46100000000001</v>
          </cell>
          <cell r="M245">
            <v>420.88900000000001</v>
          </cell>
          <cell r="N245">
            <v>975.60299999999995</v>
          </cell>
        </row>
        <row r="246">
          <cell r="A246" t="str">
            <v>2015/16</v>
          </cell>
          <cell r="B246" t="str">
            <v>MY</v>
          </cell>
          <cell r="D246">
            <v>752.39400000000001</v>
          </cell>
          <cell r="E246">
            <v>2061.9389999999999</v>
          </cell>
          <cell r="F246">
            <v>112.76300000000001</v>
          </cell>
          <cell r="G246">
            <v>2927.096</v>
          </cell>
          <cell r="H246">
            <v>957.15899999999999</v>
          </cell>
          <cell r="I246">
            <v>67.161000000000001</v>
          </cell>
          <cell r="J246">
            <v>149.38</v>
          </cell>
          <cell r="K246">
            <v>1173.7</v>
          </cell>
          <cell r="L246">
            <v>777.79300000000001</v>
          </cell>
          <cell r="M246">
            <v>1951.4929999999999</v>
          </cell>
          <cell r="N246">
            <v>975.60299999999995</v>
          </cell>
        </row>
        <row r="247">
          <cell r="B247" t="str">
            <v/>
          </cell>
        </row>
        <row r="248">
          <cell r="A248" t="str">
            <v>2016/17</v>
          </cell>
          <cell r="B248" t="str">
            <v>Q1</v>
          </cell>
          <cell r="D248">
            <v>976</v>
          </cell>
          <cell r="E248">
            <v>2309</v>
          </cell>
          <cell r="F248">
            <v>33</v>
          </cell>
          <cell r="G248">
            <v>3317</v>
          </cell>
          <cell r="H248">
            <v>238</v>
          </cell>
          <cell r="I248">
            <v>1</v>
          </cell>
          <cell r="J248">
            <v>266</v>
          </cell>
          <cell r="K248">
            <v>504</v>
          </cell>
          <cell r="L248">
            <v>268</v>
          </cell>
          <cell r="M248">
            <v>772</v>
          </cell>
          <cell r="N248">
            <v>2545</v>
          </cell>
        </row>
        <row r="249">
          <cell r="A249" t="str">
            <v>2016/17</v>
          </cell>
          <cell r="B249" t="str">
            <v>Q2</v>
          </cell>
          <cell r="D249">
            <v>2545</v>
          </cell>
          <cell r="E249" t="str">
            <v>--</v>
          </cell>
          <cell r="F249">
            <v>29</v>
          </cell>
          <cell r="G249">
            <v>2575</v>
          </cell>
          <cell r="H249">
            <v>245</v>
          </cell>
          <cell r="I249">
            <v>41</v>
          </cell>
          <cell r="J249">
            <v>-30</v>
          </cell>
          <cell r="K249">
            <v>256</v>
          </cell>
          <cell r="L249">
            <v>239</v>
          </cell>
          <cell r="M249">
            <v>495</v>
          </cell>
          <cell r="N249">
            <v>2079</v>
          </cell>
        </row>
        <row r="250">
          <cell r="A250" t="str">
            <v>2016/17</v>
          </cell>
          <cell r="B250" t="str">
            <v>Q3</v>
          </cell>
          <cell r="D250">
            <v>2079</v>
          </cell>
          <cell r="E250" t="str">
            <v>--</v>
          </cell>
          <cell r="F250">
            <v>25</v>
          </cell>
          <cell r="G250">
            <v>2104</v>
          </cell>
          <cell r="H250">
            <v>228</v>
          </cell>
          <cell r="I250">
            <v>1</v>
          </cell>
          <cell r="J250">
            <v>-13</v>
          </cell>
          <cell r="K250">
            <v>216</v>
          </cell>
          <cell r="L250">
            <v>229</v>
          </cell>
          <cell r="M250">
            <v>445</v>
          </cell>
          <cell r="N250">
            <v>1659</v>
          </cell>
        </row>
        <row r="251">
          <cell r="A251" t="str">
            <v>2016/17</v>
          </cell>
          <cell r="B251" t="str">
            <v>Q4</v>
          </cell>
          <cell r="D251">
            <v>1659</v>
          </cell>
          <cell r="E251" t="str">
            <v>--</v>
          </cell>
          <cell r="F251">
            <v>31</v>
          </cell>
          <cell r="G251">
            <v>1690</v>
          </cell>
          <cell r="H251">
            <v>238</v>
          </cell>
          <cell r="I251">
            <v>19</v>
          </cell>
          <cell r="J251">
            <v>-62</v>
          </cell>
          <cell r="K251">
            <v>195</v>
          </cell>
          <cell r="L251">
            <v>314</v>
          </cell>
          <cell r="M251">
            <v>509</v>
          </cell>
          <cell r="N251">
            <v>1181</v>
          </cell>
        </row>
        <row r="252">
          <cell r="A252" t="str">
            <v>2016/17</v>
          </cell>
          <cell r="B252" t="str">
            <v>MY</v>
          </cell>
          <cell r="D252">
            <v>976</v>
          </cell>
          <cell r="E252">
            <v>2309</v>
          </cell>
          <cell r="F252">
            <v>118</v>
          </cell>
          <cell r="G252">
            <v>3402</v>
          </cell>
          <cell r="H252">
            <v>949</v>
          </cell>
          <cell r="I252">
            <v>61</v>
          </cell>
          <cell r="J252">
            <v>161</v>
          </cell>
          <cell r="K252">
            <v>1171</v>
          </cell>
          <cell r="L252">
            <v>1051</v>
          </cell>
          <cell r="M252">
            <v>2222</v>
          </cell>
          <cell r="N252">
            <v>1181</v>
          </cell>
        </row>
        <row r="253">
          <cell r="B253" t="str">
            <v/>
          </cell>
        </row>
        <row r="254">
          <cell r="A254" t="str">
            <v>2017/18</v>
          </cell>
          <cell r="B254" t="str">
            <v>Q1</v>
          </cell>
          <cell r="D254">
            <v>1181</v>
          </cell>
          <cell r="E254">
            <v>1741</v>
          </cell>
          <cell r="F254">
            <v>42</v>
          </cell>
          <cell r="G254">
            <v>2964</v>
          </cell>
          <cell r="H254">
            <v>239</v>
          </cell>
          <cell r="I254">
            <v>1</v>
          </cell>
          <cell r="J254">
            <v>165</v>
          </cell>
          <cell r="K254">
            <v>404</v>
          </cell>
          <cell r="L254">
            <v>292</v>
          </cell>
          <cell r="M254">
            <v>697</v>
          </cell>
          <cell r="N254">
            <v>2267</v>
          </cell>
        </row>
        <row r="255">
          <cell r="A255" t="str">
            <v>2017/18</v>
          </cell>
          <cell r="B255" t="str">
            <v>Q2</v>
          </cell>
          <cell r="D255">
            <v>2267</v>
          </cell>
          <cell r="E255" t="str">
            <v>--</v>
          </cell>
          <cell r="F255">
            <v>36</v>
          </cell>
          <cell r="G255">
            <v>2303</v>
          </cell>
          <cell r="H255">
            <v>251</v>
          </cell>
          <cell r="I255">
            <v>40</v>
          </cell>
          <cell r="J255">
            <v>-55</v>
          </cell>
          <cell r="K255">
            <v>236</v>
          </cell>
          <cell r="L255">
            <v>193</v>
          </cell>
          <cell r="M255">
            <v>429</v>
          </cell>
          <cell r="N255">
            <v>1874</v>
          </cell>
        </row>
        <row r="256">
          <cell r="A256" t="str">
            <v>2017/18</v>
          </cell>
          <cell r="B256" t="str">
            <v>Q3</v>
          </cell>
          <cell r="D256">
            <v>1874</v>
          </cell>
          <cell r="E256" t="str">
            <v>--</v>
          </cell>
          <cell r="F256">
            <v>38</v>
          </cell>
          <cell r="G256">
            <v>1911</v>
          </cell>
          <cell r="H256">
            <v>233</v>
          </cell>
          <cell r="I256">
            <v>2</v>
          </cell>
          <cell r="J256">
            <v>-20</v>
          </cell>
          <cell r="K256">
            <v>215</v>
          </cell>
          <cell r="L256">
            <v>201</v>
          </cell>
          <cell r="M256">
            <v>416</v>
          </cell>
          <cell r="N256">
            <v>1495</v>
          </cell>
        </row>
        <row r="257">
          <cell r="A257" t="str">
            <v>2017/18</v>
          </cell>
          <cell r="B257" t="str">
            <v>Q4</v>
          </cell>
          <cell r="D257">
            <v>1495</v>
          </cell>
          <cell r="E257" t="str">
            <v>--</v>
          </cell>
          <cell r="F257">
            <v>42</v>
          </cell>
          <cell r="G257">
            <v>1538</v>
          </cell>
          <cell r="H257">
            <v>242</v>
          </cell>
          <cell r="I257">
            <v>21</v>
          </cell>
          <cell r="J257">
            <v>-43</v>
          </cell>
          <cell r="K257">
            <v>219</v>
          </cell>
          <cell r="L257">
            <v>220</v>
          </cell>
          <cell r="M257">
            <v>439</v>
          </cell>
          <cell r="N257">
            <v>1099</v>
          </cell>
        </row>
        <row r="258">
          <cell r="A258" t="str">
            <v>2017/18</v>
          </cell>
          <cell r="B258" t="str">
            <v>MY</v>
          </cell>
          <cell r="D258">
            <v>1181</v>
          </cell>
          <cell r="E258">
            <v>1741</v>
          </cell>
          <cell r="F258">
            <v>158</v>
          </cell>
          <cell r="G258">
            <v>3079</v>
          </cell>
          <cell r="H258">
            <v>964</v>
          </cell>
          <cell r="I258">
            <v>63</v>
          </cell>
          <cell r="J258">
            <v>47</v>
          </cell>
          <cell r="K258">
            <v>1075</v>
          </cell>
          <cell r="L258">
            <v>906</v>
          </cell>
          <cell r="M258">
            <v>1981</v>
          </cell>
          <cell r="N258">
            <v>1099</v>
          </cell>
        </row>
        <row r="259">
          <cell r="B259" t="str">
            <v/>
          </cell>
        </row>
        <row r="260">
          <cell r="A260" t="str">
            <v>2018/19</v>
          </cell>
          <cell r="B260" t="str">
            <v>Q1</v>
          </cell>
          <cell r="D260">
            <v>1099</v>
          </cell>
          <cell r="E260">
            <v>1885</v>
          </cell>
          <cell r="F260">
            <v>41</v>
          </cell>
          <cell r="G260">
            <v>3025</v>
          </cell>
          <cell r="H260">
            <v>239</v>
          </cell>
          <cell r="I260">
            <v>2</v>
          </cell>
          <cell r="J260">
            <v>189</v>
          </cell>
          <cell r="K260">
            <v>431</v>
          </cell>
          <cell r="L260">
            <v>205</v>
          </cell>
          <cell r="M260">
            <v>635</v>
          </cell>
          <cell r="N260">
            <v>2390</v>
          </cell>
        </row>
        <row r="261">
          <cell r="A261" t="str">
            <v>2018/19</v>
          </cell>
          <cell r="B261" t="str">
            <v>Q2</v>
          </cell>
          <cell r="D261">
            <v>2390</v>
          </cell>
          <cell r="E261" t="str">
            <v>--</v>
          </cell>
          <cell r="F261">
            <v>31</v>
          </cell>
          <cell r="G261">
            <v>2421</v>
          </cell>
          <cell r="H261">
            <v>247</v>
          </cell>
          <cell r="I261">
            <v>37</v>
          </cell>
          <cell r="J261">
            <v>-74</v>
          </cell>
          <cell r="K261">
            <v>209</v>
          </cell>
          <cell r="L261">
            <v>203</v>
          </cell>
          <cell r="M261">
            <v>412</v>
          </cell>
          <cell r="N261">
            <v>2009</v>
          </cell>
        </row>
        <row r="262">
          <cell r="A262" t="str">
            <v>2018/19</v>
          </cell>
          <cell r="B262" t="str">
            <v>Q3</v>
          </cell>
          <cell r="D262">
            <v>2009</v>
          </cell>
          <cell r="E262" t="str">
            <v>--</v>
          </cell>
          <cell r="F262">
            <v>32</v>
          </cell>
          <cell r="G262">
            <v>2042</v>
          </cell>
          <cell r="H262">
            <v>229</v>
          </cell>
          <cell r="I262">
            <v>3</v>
          </cell>
          <cell r="J262">
            <v>-27</v>
          </cell>
          <cell r="K262">
            <v>205</v>
          </cell>
          <cell r="L262">
            <v>244</v>
          </cell>
          <cell r="M262">
            <v>448</v>
          </cell>
          <cell r="N262">
            <v>1593</v>
          </cell>
        </row>
        <row r="263">
          <cell r="A263" t="str">
            <v>2018/19</v>
          </cell>
          <cell r="B263" t="str">
            <v>Q4</v>
          </cell>
          <cell r="D263">
            <v>1593</v>
          </cell>
          <cell r="E263" t="str">
            <v>--</v>
          </cell>
          <cell r="F263">
            <v>30</v>
          </cell>
          <cell r="G263">
            <v>1623</v>
          </cell>
          <cell r="H263">
            <v>240</v>
          </cell>
          <cell r="I263">
            <v>17</v>
          </cell>
          <cell r="J263">
            <v>1</v>
          </cell>
          <cell r="K263">
            <v>258</v>
          </cell>
          <cell r="L263">
            <v>286</v>
          </cell>
          <cell r="M263">
            <v>544</v>
          </cell>
          <cell r="N263">
            <v>1080</v>
          </cell>
        </row>
        <row r="264">
          <cell r="A264" t="str">
            <v>2018/19</v>
          </cell>
          <cell r="B264" t="str">
            <v>MY</v>
          </cell>
          <cell r="D264">
            <v>1099</v>
          </cell>
          <cell r="E264">
            <v>1885</v>
          </cell>
          <cell r="F264">
            <v>135</v>
          </cell>
          <cell r="G264">
            <v>3119</v>
          </cell>
          <cell r="H264">
            <v>955</v>
          </cell>
          <cell r="I264">
            <v>59</v>
          </cell>
          <cell r="J264">
            <v>88</v>
          </cell>
          <cell r="K264">
            <v>1102</v>
          </cell>
          <cell r="L264">
            <v>937</v>
          </cell>
          <cell r="M264">
            <v>2039</v>
          </cell>
          <cell r="N264">
            <v>1080</v>
          </cell>
        </row>
        <row r="265">
          <cell r="B265" t="str">
            <v/>
          </cell>
        </row>
        <row r="266">
          <cell r="A266" t="str">
            <v>2019/20</v>
          </cell>
          <cell r="B266" t="str">
            <v>Q1</v>
          </cell>
          <cell r="D266">
            <v>1080</v>
          </cell>
          <cell r="E266">
            <v>1920</v>
          </cell>
          <cell r="F266">
            <v>23</v>
          </cell>
          <cell r="G266">
            <v>3023</v>
          </cell>
          <cell r="H266">
            <v>238</v>
          </cell>
          <cell r="I266">
            <v>4</v>
          </cell>
          <cell r="J266">
            <v>184</v>
          </cell>
          <cell r="K266">
            <v>426</v>
          </cell>
          <cell r="L266">
            <v>252</v>
          </cell>
          <cell r="M266">
            <v>678</v>
          </cell>
          <cell r="N266">
            <v>2346</v>
          </cell>
        </row>
        <row r="267">
          <cell r="A267" t="str">
            <v>2019/20</v>
          </cell>
          <cell r="B267" t="str">
            <v>Q2</v>
          </cell>
          <cell r="D267">
            <v>2346</v>
          </cell>
          <cell r="E267" t="str">
            <v>--</v>
          </cell>
          <cell r="F267">
            <v>23</v>
          </cell>
          <cell r="G267">
            <v>2368</v>
          </cell>
          <cell r="H267">
            <v>247</v>
          </cell>
          <cell r="I267">
            <v>38</v>
          </cell>
          <cell r="J267">
            <v>10</v>
          </cell>
          <cell r="K267">
            <v>294</v>
          </cell>
          <cell r="L267">
            <v>233</v>
          </cell>
          <cell r="M267">
            <v>528</v>
          </cell>
          <cell r="N267">
            <v>1841</v>
          </cell>
        </row>
        <row r="268">
          <cell r="A268" t="str">
            <v>2019/20</v>
          </cell>
          <cell r="B268" t="str">
            <v>Q3</v>
          </cell>
          <cell r="D268">
            <v>1841</v>
          </cell>
          <cell r="E268" t="str">
            <v>--</v>
          </cell>
          <cell r="F268">
            <v>28</v>
          </cell>
          <cell r="G268">
            <v>1869</v>
          </cell>
          <cell r="H268">
            <v>236</v>
          </cell>
          <cell r="I268">
            <v>2</v>
          </cell>
          <cell r="J268">
            <v>-19</v>
          </cell>
          <cell r="K268">
            <v>219</v>
          </cell>
          <cell r="L268">
            <v>235</v>
          </cell>
          <cell r="M268">
            <v>454</v>
          </cell>
          <cell r="N268">
            <v>1415</v>
          </cell>
        </row>
        <row r="269">
          <cell r="A269" t="str">
            <v>2019/20</v>
          </cell>
          <cell r="B269" t="str">
            <v>Q4</v>
          </cell>
          <cell r="D269">
            <v>1415</v>
          </cell>
          <cell r="E269" t="str">
            <v>--</v>
          </cell>
          <cell r="F269">
            <v>30</v>
          </cell>
          <cell r="G269">
            <v>1446</v>
          </cell>
          <cell r="H269">
            <v>240</v>
          </cell>
          <cell r="I269">
            <v>17</v>
          </cell>
          <cell r="J269">
            <v>-101</v>
          </cell>
          <cell r="K269">
            <v>156</v>
          </cell>
          <cell r="L269">
            <v>246</v>
          </cell>
          <cell r="M269">
            <v>402</v>
          </cell>
          <cell r="N269">
            <v>1044</v>
          </cell>
        </row>
        <row r="270">
          <cell r="A270" t="str">
            <v>2019/20</v>
          </cell>
          <cell r="B270" t="str">
            <v>MY</v>
          </cell>
          <cell r="D270">
            <v>1080</v>
          </cell>
          <cell r="E270">
            <v>1920</v>
          </cell>
          <cell r="F270">
            <v>105</v>
          </cell>
          <cell r="G270">
            <v>3105</v>
          </cell>
          <cell r="H270">
            <v>962</v>
          </cell>
          <cell r="I270">
            <v>61</v>
          </cell>
          <cell r="J270">
            <v>73</v>
          </cell>
          <cell r="K270">
            <v>1096</v>
          </cell>
          <cell r="L270">
            <v>965</v>
          </cell>
          <cell r="M270">
            <v>2061</v>
          </cell>
          <cell r="N270">
            <v>1044</v>
          </cell>
        </row>
        <row r="272">
          <cell r="B272" t="str">
            <v/>
          </cell>
        </row>
        <row r="273">
          <cell r="A273" t="str">
            <v>2020/21</v>
          </cell>
          <cell r="B273" t="str">
            <v>MY</v>
          </cell>
          <cell r="D273">
            <v>1044</v>
          </cell>
          <cell r="E273">
            <v>1838</v>
          </cell>
          <cell r="F273">
            <v>130</v>
          </cell>
          <cell r="G273">
            <v>3011</v>
          </cell>
          <cell r="H273">
            <v>960</v>
          </cell>
          <cell r="I273">
            <v>61</v>
          </cell>
          <cell r="J273">
            <v>90</v>
          </cell>
          <cell r="K273">
            <v>1111</v>
          </cell>
          <cell r="L273">
            <v>975</v>
          </cell>
          <cell r="M273">
            <v>2086</v>
          </cell>
          <cell r="N273">
            <v>925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MY</v>
          </cell>
          <cell r="B2" t="str">
            <v>Quarter</v>
          </cell>
          <cell r="D2" t="str">
            <v>Beginning Stocks</v>
          </cell>
          <cell r="E2" t="str">
            <v>Production</v>
          </cell>
          <cell r="F2" t="str">
            <v>Imports</v>
          </cell>
          <cell r="G2" t="str">
            <v>Total  Supply</v>
          </cell>
          <cell r="H2" t="str">
            <v>Crush</v>
          </cell>
          <cell r="I2" t="str">
            <v>Exports</v>
          </cell>
          <cell r="J2" t="str">
            <v>Seed, feed, and residual</v>
          </cell>
          <cell r="K2" t="str">
            <v>Total Dissappearance</v>
          </cell>
        </row>
        <row r="3">
          <cell r="A3" t="str">
            <v>2000/01</v>
          </cell>
          <cell r="B3" t="str">
            <v>Q1</v>
          </cell>
          <cell r="D3">
            <v>290.16199999999998</v>
          </cell>
          <cell r="E3">
            <v>2757.81</v>
          </cell>
          <cell r="F3">
            <v>0.90100000000000002</v>
          </cell>
          <cell r="G3">
            <v>3048.873</v>
          </cell>
          <cell r="H3">
            <v>421.137</v>
          </cell>
          <cell r="I3">
            <v>315.76799999999997</v>
          </cell>
          <cell r="J3">
            <v>71.977999999999994</v>
          </cell>
          <cell r="K3">
            <v>808.88199999999995</v>
          </cell>
        </row>
        <row r="4">
          <cell r="A4" t="str">
            <v>2000/01</v>
          </cell>
          <cell r="B4" t="str">
            <v>Q2</v>
          </cell>
          <cell r="D4">
            <v>2239.991</v>
          </cell>
          <cell r="F4">
            <v>0.8</v>
          </cell>
          <cell r="G4">
            <v>2240.7910000000002</v>
          </cell>
          <cell r="H4">
            <v>417.93700000000001</v>
          </cell>
          <cell r="I4">
            <v>336.291</v>
          </cell>
          <cell r="J4">
            <v>82.655000000000001</v>
          </cell>
          <cell r="K4">
            <v>836.88300000000004</v>
          </cell>
        </row>
        <row r="5">
          <cell r="A5" t="str">
            <v>2000/01</v>
          </cell>
          <cell r="B5" t="str">
            <v>Q3</v>
          </cell>
          <cell r="D5">
            <v>1403.9079999999999</v>
          </cell>
          <cell r="F5">
            <v>0.81299999999999994</v>
          </cell>
          <cell r="G5">
            <v>1404.721</v>
          </cell>
          <cell r="H5">
            <v>405.48700000000002</v>
          </cell>
          <cell r="I5">
            <v>227.73</v>
          </cell>
          <cell r="J5">
            <v>63.323999999999998</v>
          </cell>
          <cell r="K5">
            <v>696.54100000000005</v>
          </cell>
        </row>
        <row r="6">
          <cell r="A6" t="str">
            <v>2000/01</v>
          </cell>
          <cell r="B6" t="str">
            <v>Q4</v>
          </cell>
          <cell r="D6">
            <v>708.18</v>
          </cell>
          <cell r="F6">
            <v>1.0529999999999999</v>
          </cell>
          <cell r="G6">
            <v>709.23299999999995</v>
          </cell>
          <cell r="H6">
            <v>395.11</v>
          </cell>
          <cell r="I6">
            <v>116.08199999999999</v>
          </cell>
          <cell r="J6">
            <v>-49.706000000000003</v>
          </cell>
          <cell r="K6">
            <v>461.48599999999999</v>
          </cell>
        </row>
        <row r="7">
          <cell r="A7" t="str">
            <v>2000/01</v>
          </cell>
          <cell r="B7" t="str">
            <v>MY</v>
          </cell>
          <cell r="D7" t="str">
            <v/>
          </cell>
          <cell r="E7">
            <v>2757.81</v>
          </cell>
          <cell r="F7">
            <v>3.5680000000000001</v>
          </cell>
          <cell r="G7">
            <v>3051.54</v>
          </cell>
          <cell r="H7">
            <v>1639.67</v>
          </cell>
          <cell r="I7">
            <v>995.87099999999998</v>
          </cell>
          <cell r="J7">
            <v>168.25200000000001</v>
          </cell>
          <cell r="K7">
            <v>2803.7930000000001</v>
          </cell>
        </row>
        <row r="8">
          <cell r="D8" t="str">
            <v/>
          </cell>
          <cell r="E8" t="str">
            <v/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/>
          </cell>
          <cell r="K8" t="str">
            <v/>
          </cell>
        </row>
        <row r="9"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</row>
        <row r="10">
          <cell r="A10" t="str">
            <v>2001/02</v>
          </cell>
          <cell r="B10" t="str">
            <v>Q1</v>
          </cell>
          <cell r="D10">
            <v>247.74700000000001</v>
          </cell>
          <cell r="E10">
            <v>2890.6819999999998</v>
          </cell>
          <cell r="F10">
            <v>0.84599999999999997</v>
          </cell>
          <cell r="G10">
            <v>3139.2750000000001</v>
          </cell>
          <cell r="H10">
            <v>427.54</v>
          </cell>
          <cell r="I10">
            <v>348.61900000000003</v>
          </cell>
          <cell r="J10">
            <v>87.497</v>
          </cell>
          <cell r="K10">
            <v>863.65700000000004</v>
          </cell>
        </row>
        <row r="11">
          <cell r="A11" t="str">
            <v>2001/02</v>
          </cell>
          <cell r="B11" t="str">
            <v>Q2</v>
          </cell>
          <cell r="D11">
            <v>2275.6179999999999</v>
          </cell>
          <cell r="F11">
            <v>0.63800000000000001</v>
          </cell>
          <cell r="G11">
            <v>2276.2559999999999</v>
          </cell>
          <cell r="H11">
            <v>447.59699999999998</v>
          </cell>
          <cell r="I11">
            <v>422.44900000000001</v>
          </cell>
          <cell r="J11">
            <v>70.222999999999999</v>
          </cell>
          <cell r="K11">
            <v>940.26900000000001</v>
          </cell>
        </row>
        <row r="12">
          <cell r="A12" t="str">
            <v>2001/02</v>
          </cell>
          <cell r="B12" t="str">
            <v>Q3</v>
          </cell>
          <cell r="D12">
            <v>1335.9870000000001</v>
          </cell>
          <cell r="F12">
            <v>0.46200000000000002</v>
          </cell>
          <cell r="G12">
            <v>1336.4490000000001</v>
          </cell>
          <cell r="H12">
            <v>429.61599999999999</v>
          </cell>
          <cell r="I12">
            <v>155.298</v>
          </cell>
          <cell r="J12">
            <v>66.614000000000004</v>
          </cell>
          <cell r="K12">
            <v>651.52800000000002</v>
          </cell>
        </row>
        <row r="13">
          <cell r="A13" t="str">
            <v>2001/02</v>
          </cell>
          <cell r="B13" t="str">
            <v>Q4</v>
          </cell>
          <cell r="D13">
            <v>684.92100000000005</v>
          </cell>
          <cell r="F13">
            <v>0.375</v>
          </cell>
          <cell r="G13">
            <v>685.29600000000005</v>
          </cell>
          <cell r="H13">
            <v>394.988</v>
          </cell>
          <cell r="I13">
            <v>137.285</v>
          </cell>
          <cell r="J13">
            <v>-55.037999999999997</v>
          </cell>
          <cell r="K13">
            <v>477.23500000000001</v>
          </cell>
        </row>
        <row r="14">
          <cell r="A14" t="str">
            <v>2001/02</v>
          </cell>
          <cell r="B14" t="str">
            <v>MY</v>
          </cell>
          <cell r="D14" t="str">
            <v/>
          </cell>
          <cell r="E14">
            <v>2890.6819999999998</v>
          </cell>
          <cell r="F14">
            <v>2.3199999999999998</v>
          </cell>
          <cell r="G14">
            <v>3140.7489999999998</v>
          </cell>
          <cell r="H14">
            <v>1699.741</v>
          </cell>
          <cell r="I14">
            <v>1063.6510000000001</v>
          </cell>
          <cell r="J14">
            <v>169.29599999999999</v>
          </cell>
          <cell r="K14">
            <v>2932.6880000000001</v>
          </cell>
        </row>
        <row r="15"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</row>
        <row r="16"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</row>
        <row r="17">
          <cell r="A17" t="str">
            <v>2002/03</v>
          </cell>
          <cell r="B17" t="str">
            <v>Q1</v>
          </cell>
          <cell r="D17">
            <v>208.06100000000001</v>
          </cell>
          <cell r="E17">
            <v>2756.1469999999999</v>
          </cell>
          <cell r="F17">
            <v>1.413</v>
          </cell>
          <cell r="G17">
            <v>2965.6210000000001</v>
          </cell>
          <cell r="H17">
            <v>417.50599999999997</v>
          </cell>
          <cell r="I17">
            <v>320.404</v>
          </cell>
          <cell r="J17">
            <v>112.33799999999999</v>
          </cell>
          <cell r="K17">
            <v>850.24800000000005</v>
          </cell>
        </row>
        <row r="18">
          <cell r="A18" t="str">
            <v>2002/03</v>
          </cell>
          <cell r="B18" t="str">
            <v>Q2</v>
          </cell>
          <cell r="D18">
            <v>2115.373</v>
          </cell>
          <cell r="F18">
            <v>1.095</v>
          </cell>
          <cell r="G18">
            <v>2116.4679999999998</v>
          </cell>
          <cell r="H18">
            <v>422.02800000000002</v>
          </cell>
          <cell r="I18">
            <v>425.471</v>
          </cell>
          <cell r="J18">
            <v>66.94</v>
          </cell>
          <cell r="K18">
            <v>914.44</v>
          </cell>
        </row>
        <row r="19">
          <cell r="A19" t="str">
            <v>2002/03</v>
          </cell>
          <cell r="B19" t="str">
            <v>Q3</v>
          </cell>
          <cell r="D19">
            <v>1202.028</v>
          </cell>
          <cell r="F19">
            <v>1.242</v>
          </cell>
          <cell r="G19">
            <v>1203.27</v>
          </cell>
          <cell r="H19">
            <v>399.52</v>
          </cell>
          <cell r="I19">
            <v>194.41</v>
          </cell>
          <cell r="J19">
            <v>6.9779999999999998</v>
          </cell>
          <cell r="K19">
            <v>600.90800000000002</v>
          </cell>
        </row>
        <row r="20">
          <cell r="A20" t="str">
            <v>2002/03</v>
          </cell>
          <cell r="B20" t="str">
            <v>Q4</v>
          </cell>
          <cell r="D20">
            <v>602.36199999999997</v>
          </cell>
          <cell r="F20">
            <v>0.91100000000000003</v>
          </cell>
          <cell r="G20">
            <v>603.27300000000002</v>
          </cell>
          <cell r="H20">
            <v>375.73399999999998</v>
          </cell>
          <cell r="I20">
            <v>104.087</v>
          </cell>
          <cell r="J20">
            <v>-54.875999999999998</v>
          </cell>
          <cell r="K20">
            <v>424.94400000000002</v>
          </cell>
        </row>
        <row r="21">
          <cell r="A21" t="str">
            <v>2002/03</v>
          </cell>
          <cell r="B21" t="str">
            <v>MY</v>
          </cell>
          <cell r="D21" t="str">
            <v/>
          </cell>
          <cell r="E21">
            <v>2756.1469999999999</v>
          </cell>
          <cell r="F21">
            <v>4.6609999999999996</v>
          </cell>
          <cell r="G21">
            <v>2968.8690000000001</v>
          </cell>
          <cell r="H21">
            <v>1614.787</v>
          </cell>
          <cell r="I21">
            <v>1044.3720000000001</v>
          </cell>
          <cell r="J21">
            <v>131.38</v>
          </cell>
          <cell r="K21">
            <v>2790.54</v>
          </cell>
        </row>
        <row r="22"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</row>
        <row r="23"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</row>
        <row r="24">
          <cell r="A24" t="str">
            <v>2003/04</v>
          </cell>
          <cell r="B24" t="str">
            <v>Q1</v>
          </cell>
          <cell r="D24">
            <v>178.32900000000001</v>
          </cell>
          <cell r="E24">
            <v>2453.8449999999998</v>
          </cell>
          <cell r="F24">
            <v>2.246</v>
          </cell>
          <cell r="G24">
            <v>2634.42</v>
          </cell>
          <cell r="H24">
            <v>419.40100000000001</v>
          </cell>
          <cell r="I24">
            <v>383.50099999999998</v>
          </cell>
          <cell r="J24">
            <v>142.86500000000001</v>
          </cell>
          <cell r="K24">
            <v>945.76700000000005</v>
          </cell>
        </row>
        <row r="25">
          <cell r="A25" t="str">
            <v>2003/04</v>
          </cell>
          <cell r="B25" t="str">
            <v>Q2</v>
          </cell>
          <cell r="D25">
            <v>1688.653</v>
          </cell>
          <cell r="F25">
            <v>1.383</v>
          </cell>
          <cell r="G25">
            <v>1690.0360000000001</v>
          </cell>
          <cell r="H25">
            <v>423.11700000000002</v>
          </cell>
          <cell r="I25">
            <v>333.88600000000002</v>
          </cell>
          <cell r="J25">
            <v>27.187000000000001</v>
          </cell>
          <cell r="K25">
            <v>784.18899999999996</v>
          </cell>
        </row>
        <row r="26">
          <cell r="A26" t="str">
            <v>2003/04</v>
          </cell>
          <cell r="B26" t="str">
            <v>Q3</v>
          </cell>
          <cell r="D26">
            <v>905.84699999999998</v>
          </cell>
          <cell r="F26">
            <v>0.99399999999999999</v>
          </cell>
          <cell r="G26">
            <v>906.84100000000001</v>
          </cell>
          <cell r="H26">
            <v>359.57100000000003</v>
          </cell>
          <cell r="I26">
            <v>123.367</v>
          </cell>
          <cell r="J26">
            <v>13.298999999999999</v>
          </cell>
          <cell r="K26">
            <v>496.23700000000002</v>
          </cell>
        </row>
        <row r="27">
          <cell r="A27" t="str">
            <v>2003/04</v>
          </cell>
          <cell r="B27" t="str">
            <v>Q4</v>
          </cell>
          <cell r="D27">
            <v>410.60399999999998</v>
          </cell>
          <cell r="F27">
            <v>0.93799999999999994</v>
          </cell>
          <cell r="G27">
            <v>411.54199999999997</v>
          </cell>
          <cell r="H27">
            <v>327.60899999999998</v>
          </cell>
          <cell r="I27">
            <v>45.795999999999999</v>
          </cell>
          <cell r="J27">
            <v>-74.278000000000006</v>
          </cell>
          <cell r="K27">
            <v>299.12799999999999</v>
          </cell>
        </row>
        <row r="28">
          <cell r="A28" t="str">
            <v>2003/04</v>
          </cell>
          <cell r="B28" t="str">
            <v>MY</v>
          </cell>
          <cell r="D28" t="str">
            <v/>
          </cell>
          <cell r="E28">
            <v>2453.8449999999998</v>
          </cell>
          <cell r="F28">
            <v>5.5620000000000003</v>
          </cell>
          <cell r="G28">
            <v>2637.7359999999999</v>
          </cell>
          <cell r="H28">
            <v>1529.6990000000001</v>
          </cell>
          <cell r="I28">
            <v>886.55100000000004</v>
          </cell>
          <cell r="J28">
            <v>109.072</v>
          </cell>
          <cell r="K28">
            <v>2525.3220000000001</v>
          </cell>
        </row>
        <row r="29"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</row>
        <row r="30"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</row>
        <row r="31">
          <cell r="A31" t="str">
            <v>2004/05</v>
          </cell>
          <cell r="B31" t="str">
            <v>Q1</v>
          </cell>
          <cell r="D31">
            <v>112.414</v>
          </cell>
          <cell r="E31">
            <v>3123.79</v>
          </cell>
          <cell r="F31">
            <v>0.97099999999999997</v>
          </cell>
          <cell r="G31">
            <v>3237.1750000000002</v>
          </cell>
          <cell r="H31">
            <v>427.36399999999998</v>
          </cell>
          <cell r="I31">
            <v>405.77600000000001</v>
          </cell>
          <cell r="J31">
            <v>99.394000000000005</v>
          </cell>
          <cell r="K31">
            <v>932.53499999999997</v>
          </cell>
        </row>
        <row r="32">
          <cell r="A32" t="str">
            <v>2004/05</v>
          </cell>
          <cell r="B32" t="str">
            <v>Q2</v>
          </cell>
          <cell r="D32">
            <v>2304.64</v>
          </cell>
          <cell r="F32">
            <v>1.377</v>
          </cell>
          <cell r="G32">
            <v>2306.0169999999998</v>
          </cell>
          <cell r="H32">
            <v>436.185</v>
          </cell>
          <cell r="I32">
            <v>410.68400000000003</v>
          </cell>
          <cell r="J32">
            <v>77.784000000000006</v>
          </cell>
          <cell r="K32">
            <v>924.65300000000002</v>
          </cell>
        </row>
        <row r="33">
          <cell r="A33" t="str">
            <v>2004/05</v>
          </cell>
          <cell r="B33" t="str">
            <v>Q3</v>
          </cell>
          <cell r="D33">
            <v>1381.364</v>
          </cell>
          <cell r="F33">
            <v>0.97</v>
          </cell>
          <cell r="G33">
            <v>1382.3340000000001</v>
          </cell>
          <cell r="H33">
            <v>430.72199999999998</v>
          </cell>
          <cell r="I33">
            <v>197.91300000000001</v>
          </cell>
          <cell r="J33">
            <v>54.424999999999997</v>
          </cell>
          <cell r="K33">
            <v>683.06</v>
          </cell>
        </row>
        <row r="34">
          <cell r="A34" t="str">
            <v>2004/05</v>
          </cell>
          <cell r="B34" t="str">
            <v>Q4</v>
          </cell>
          <cell r="D34">
            <v>699.274</v>
          </cell>
          <cell r="F34">
            <v>2.2599999999999998</v>
          </cell>
          <cell r="G34">
            <v>701.53399999999999</v>
          </cell>
          <cell r="H34">
            <v>401.81099999999998</v>
          </cell>
          <cell r="I34">
            <v>82.783000000000001</v>
          </cell>
          <cell r="J34">
            <v>-38.796999999999997</v>
          </cell>
          <cell r="K34">
            <v>445.79599999999999</v>
          </cell>
        </row>
        <row r="35">
          <cell r="A35" t="str">
            <v>2004/05</v>
          </cell>
          <cell r="B35" t="str">
            <v>MY</v>
          </cell>
          <cell r="D35" t="str">
            <v/>
          </cell>
          <cell r="E35">
            <v>3123.79</v>
          </cell>
          <cell r="F35">
            <v>5.5780000000000003</v>
          </cell>
          <cell r="G35">
            <v>3241.7820000000002</v>
          </cell>
          <cell r="H35">
            <v>1696.0809999999999</v>
          </cell>
          <cell r="I35">
            <v>1097.1559999999999</v>
          </cell>
          <cell r="J35">
            <v>192.80600000000001</v>
          </cell>
          <cell r="K35">
            <v>2986.0439999999999</v>
          </cell>
        </row>
        <row r="36"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</row>
        <row r="37"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</row>
        <row r="38">
          <cell r="A38" t="str">
            <v>2005/06</v>
          </cell>
          <cell r="B38" t="str">
            <v>Q1</v>
          </cell>
          <cell r="D38">
            <v>255.738</v>
          </cell>
          <cell r="E38">
            <v>3068.3420000000001</v>
          </cell>
          <cell r="F38">
            <v>0.58799999999999997</v>
          </cell>
          <cell r="G38">
            <v>3324.6680000000001</v>
          </cell>
          <cell r="H38">
            <v>442.351</v>
          </cell>
          <cell r="I38">
            <v>312.63400000000001</v>
          </cell>
          <cell r="J38">
            <v>68.257000000000005</v>
          </cell>
          <cell r="K38">
            <v>823.24199999999996</v>
          </cell>
        </row>
        <row r="39">
          <cell r="A39" t="str">
            <v>2005/06</v>
          </cell>
          <cell r="B39" t="str">
            <v>Q2</v>
          </cell>
          <cell r="D39">
            <v>2501.4259999999999</v>
          </cell>
          <cell r="F39">
            <v>0.77800000000000002</v>
          </cell>
          <cell r="G39">
            <v>2502.2040000000002</v>
          </cell>
          <cell r="H39">
            <v>437.15499999999997</v>
          </cell>
          <cell r="I39">
            <v>305.22000000000003</v>
          </cell>
          <cell r="J39">
            <v>90.623000000000005</v>
          </cell>
          <cell r="K39">
            <v>832.99800000000005</v>
          </cell>
        </row>
        <row r="40">
          <cell r="A40" t="str">
            <v>2005/06</v>
          </cell>
          <cell r="B40" t="str">
            <v>Q3</v>
          </cell>
          <cell r="D40">
            <v>1669.2059999999999</v>
          </cell>
          <cell r="F40">
            <v>0.95599999999999996</v>
          </cell>
          <cell r="G40">
            <v>1670.162</v>
          </cell>
          <cell r="H40">
            <v>431.25200000000001</v>
          </cell>
          <cell r="I40">
            <v>184.31299999999999</v>
          </cell>
          <cell r="J40">
            <v>63.898000000000003</v>
          </cell>
          <cell r="K40">
            <v>679.46299999999997</v>
          </cell>
        </row>
        <row r="41">
          <cell r="A41" t="str">
            <v>2005/06</v>
          </cell>
          <cell r="B41" t="str">
            <v>Q4</v>
          </cell>
          <cell r="D41">
            <v>990.69899999999996</v>
          </cell>
          <cell r="F41">
            <v>1.05</v>
          </cell>
          <cell r="G41">
            <v>991.74900000000002</v>
          </cell>
          <cell r="H41">
            <v>428.09500000000003</v>
          </cell>
          <cell r="I41">
            <v>137.71100000000001</v>
          </cell>
          <cell r="J41">
            <v>-23.382999999999999</v>
          </cell>
          <cell r="K41">
            <v>542.423</v>
          </cell>
        </row>
        <row r="42">
          <cell r="A42" t="str">
            <v>2005/06</v>
          </cell>
          <cell r="B42" t="str">
            <v>MY</v>
          </cell>
          <cell r="D42" t="str">
            <v/>
          </cell>
          <cell r="E42">
            <v>3068.3420000000001</v>
          </cell>
          <cell r="F42">
            <v>3.3719999999999999</v>
          </cell>
          <cell r="G42">
            <v>3327.4520000000002</v>
          </cell>
          <cell r="H42">
            <v>1738.8520000000001</v>
          </cell>
          <cell r="I42">
            <v>939.87900000000002</v>
          </cell>
          <cell r="J42">
            <v>199.39599999999999</v>
          </cell>
          <cell r="K42">
            <v>2878.1260000000002</v>
          </cell>
        </row>
        <row r="43"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</row>
        <row r="44"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</row>
        <row r="45">
          <cell r="A45" t="str">
            <v>2006/07</v>
          </cell>
          <cell r="B45" t="str">
            <v>Q1</v>
          </cell>
          <cell r="D45">
            <v>449.32600000000002</v>
          </cell>
          <cell r="E45">
            <v>3196.7260000000001</v>
          </cell>
          <cell r="F45">
            <v>1.5209999999999999</v>
          </cell>
          <cell r="G45">
            <v>3647.5729999999999</v>
          </cell>
          <cell r="H45">
            <v>459.20299999999997</v>
          </cell>
          <cell r="I45">
            <v>373.815</v>
          </cell>
          <cell r="J45">
            <v>113.18899999999999</v>
          </cell>
          <cell r="K45">
            <v>946.20699999999999</v>
          </cell>
        </row>
        <row r="46">
          <cell r="A46" t="str">
            <v>2006/07</v>
          </cell>
          <cell r="B46" t="str">
            <v>Q2</v>
          </cell>
          <cell r="D46">
            <v>2701.366</v>
          </cell>
          <cell r="F46">
            <v>1.91</v>
          </cell>
          <cell r="G46">
            <v>2703.2759999999998</v>
          </cell>
          <cell r="H46">
            <v>449.81700000000001</v>
          </cell>
          <cell r="I46">
            <v>396.31700000000001</v>
          </cell>
          <cell r="J46">
            <v>70.254999999999995</v>
          </cell>
          <cell r="K46">
            <v>916.38900000000001</v>
          </cell>
        </row>
        <row r="47">
          <cell r="A47" t="str">
            <v>2006/07</v>
          </cell>
          <cell r="B47" t="str">
            <v>Q3</v>
          </cell>
          <cell r="D47">
            <v>1786.8869999999999</v>
          </cell>
          <cell r="F47">
            <v>2.569</v>
          </cell>
          <cell r="G47">
            <v>1789.4559999999999</v>
          </cell>
          <cell r="H47">
            <v>453.22800000000001</v>
          </cell>
          <cell r="I47">
            <v>210.005</v>
          </cell>
          <cell r="J47">
            <v>34.036999999999999</v>
          </cell>
          <cell r="K47">
            <v>697.27099999999996</v>
          </cell>
        </row>
        <row r="48">
          <cell r="A48" t="str">
            <v>2006/07</v>
          </cell>
          <cell r="B48" t="str">
            <v>Q4</v>
          </cell>
          <cell r="D48">
            <v>1092.1849999999999</v>
          </cell>
          <cell r="F48">
            <v>3.0339999999999998</v>
          </cell>
          <cell r="G48">
            <v>1095.2190000000001</v>
          </cell>
          <cell r="H48">
            <v>445.45699999999999</v>
          </cell>
          <cell r="I48">
            <v>136.358</v>
          </cell>
          <cell r="J48">
            <v>-60.406999999999996</v>
          </cell>
          <cell r="K48">
            <v>521.40899999999999</v>
          </cell>
        </row>
        <row r="49">
          <cell r="A49" t="str">
            <v>2006/07</v>
          </cell>
          <cell r="B49" t="str">
            <v>MY</v>
          </cell>
          <cell r="D49" t="str">
            <v/>
          </cell>
          <cell r="E49">
            <v>3196.7260000000001</v>
          </cell>
          <cell r="F49">
            <v>9.0340000000000007</v>
          </cell>
          <cell r="G49">
            <v>3655.0859999999998</v>
          </cell>
          <cell r="H49">
            <v>1807.7059999999999</v>
          </cell>
          <cell r="I49">
            <v>1116.4960000000001</v>
          </cell>
          <cell r="J49">
            <v>157.07400000000001</v>
          </cell>
          <cell r="K49">
            <v>3081.2759999999998</v>
          </cell>
        </row>
        <row r="50"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</row>
        <row r="51"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</row>
        <row r="52">
          <cell r="A52" t="str">
            <v>2007/08</v>
          </cell>
          <cell r="B52" t="str">
            <v>Q1</v>
          </cell>
          <cell r="D52">
            <v>573.80999999999995</v>
          </cell>
          <cell r="E52">
            <v>2677.1170000000002</v>
          </cell>
          <cell r="F52">
            <v>1.569</v>
          </cell>
          <cell r="G52">
            <v>3252.4960000000001</v>
          </cell>
          <cell r="H52">
            <v>467.36500000000001</v>
          </cell>
          <cell r="I52">
            <v>328.06</v>
          </cell>
          <cell r="J52">
            <v>96.710999999999999</v>
          </cell>
          <cell r="K52">
            <v>892.13599999999997</v>
          </cell>
        </row>
        <row r="53">
          <cell r="A53" t="str">
            <v>2007/08</v>
          </cell>
          <cell r="B53" t="str">
            <v>Q2</v>
          </cell>
          <cell r="D53">
            <v>2360.36</v>
          </cell>
          <cell r="F53">
            <v>3.7269999999999999</v>
          </cell>
          <cell r="G53">
            <v>2364.087</v>
          </cell>
          <cell r="H53">
            <v>471.03699999999998</v>
          </cell>
          <cell r="I53">
            <v>431.28899999999999</v>
          </cell>
          <cell r="J53">
            <v>27.777999999999999</v>
          </cell>
          <cell r="K53">
            <v>930.10500000000002</v>
          </cell>
        </row>
        <row r="54">
          <cell r="A54" t="str">
            <v>2007/08</v>
          </cell>
          <cell r="B54" t="str">
            <v>Q3</v>
          </cell>
          <cell r="D54">
            <v>1433.982</v>
          </cell>
          <cell r="F54">
            <v>2.2370000000000001</v>
          </cell>
          <cell r="G54">
            <v>1436.2190000000001</v>
          </cell>
          <cell r="H54">
            <v>456.01400000000001</v>
          </cell>
          <cell r="I54">
            <v>243.75299999999999</v>
          </cell>
          <cell r="J54">
            <v>60.31</v>
          </cell>
          <cell r="K54">
            <v>760.07600000000002</v>
          </cell>
        </row>
        <row r="55">
          <cell r="A55" t="str">
            <v>2007/08</v>
          </cell>
          <cell r="B55" t="str">
            <v>Q4</v>
          </cell>
          <cell r="D55">
            <v>676.14300000000003</v>
          </cell>
          <cell r="F55">
            <v>2.3380000000000001</v>
          </cell>
          <cell r="G55">
            <v>678.48099999999999</v>
          </cell>
          <cell r="H55">
            <v>408.99200000000002</v>
          </cell>
          <cell r="I55">
            <v>155.726</v>
          </cell>
          <cell r="J55">
            <v>-91.271000000000001</v>
          </cell>
          <cell r="K55">
            <v>473.447</v>
          </cell>
        </row>
        <row r="56">
          <cell r="A56" t="str">
            <v>2007/08</v>
          </cell>
          <cell r="B56" t="str">
            <v>MY</v>
          </cell>
          <cell r="D56" t="str">
            <v/>
          </cell>
          <cell r="E56">
            <v>2677.1170000000002</v>
          </cell>
          <cell r="F56">
            <v>9.8710000000000004</v>
          </cell>
          <cell r="G56">
            <v>3260.7979999999998</v>
          </cell>
          <cell r="H56">
            <v>1803.4069999999999</v>
          </cell>
          <cell r="I56">
            <v>1158.829</v>
          </cell>
          <cell r="J56">
            <v>93.527000000000001</v>
          </cell>
          <cell r="K56">
            <v>3055.7640000000001</v>
          </cell>
        </row>
        <row r="57"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</row>
        <row r="58"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</row>
        <row r="59">
          <cell r="A59" t="str">
            <v>2008/09</v>
          </cell>
          <cell r="B59" t="str">
            <v>Q1</v>
          </cell>
          <cell r="D59">
            <v>205.03399999999999</v>
          </cell>
          <cell r="E59">
            <v>2967.0070000000001</v>
          </cell>
          <cell r="F59">
            <v>2.76</v>
          </cell>
          <cell r="G59">
            <v>3174.8009999999999</v>
          </cell>
          <cell r="H59">
            <v>420.42200000000003</v>
          </cell>
          <cell r="I59">
            <v>386.93400000000003</v>
          </cell>
          <cell r="J59">
            <v>92.013000000000005</v>
          </cell>
          <cell r="K59">
            <v>899.36900000000003</v>
          </cell>
        </row>
        <row r="60">
          <cell r="A60" t="str">
            <v>2008/09</v>
          </cell>
          <cell r="B60" t="str">
            <v>Q2</v>
          </cell>
          <cell r="D60">
            <v>2275.4319999999998</v>
          </cell>
          <cell r="F60">
            <v>4.5960000000000001</v>
          </cell>
          <cell r="G60">
            <v>2280.0279999999998</v>
          </cell>
          <cell r="H60">
            <v>421.92700000000002</v>
          </cell>
          <cell r="I60">
            <v>482.875</v>
          </cell>
          <cell r="J60">
            <v>73.436999999999998</v>
          </cell>
          <cell r="K60">
            <v>978.23900000000003</v>
          </cell>
        </row>
        <row r="61">
          <cell r="A61" t="str">
            <v>2008/09</v>
          </cell>
          <cell r="B61" t="str">
            <v>Q3</v>
          </cell>
          <cell r="D61">
            <v>1301.789</v>
          </cell>
          <cell r="F61">
            <v>3.7719999999999998</v>
          </cell>
          <cell r="G61">
            <v>1305.5609999999999</v>
          </cell>
          <cell r="H61">
            <v>430.85700000000003</v>
          </cell>
          <cell r="I61">
            <v>243.68299999999999</v>
          </cell>
          <cell r="J61">
            <v>34.862000000000002</v>
          </cell>
          <cell r="K61">
            <v>709.40200000000004</v>
          </cell>
        </row>
        <row r="62">
          <cell r="A62" t="str">
            <v>2008/09</v>
          </cell>
          <cell r="B62" t="str">
            <v>Q4</v>
          </cell>
          <cell r="D62">
            <v>596.15899999999999</v>
          </cell>
          <cell r="F62">
            <v>2.1349999999999998</v>
          </cell>
          <cell r="G62">
            <v>598.29399999999998</v>
          </cell>
          <cell r="H62">
            <v>388.71699999999998</v>
          </cell>
          <cell r="I62">
            <v>165.80099999999999</v>
          </cell>
          <cell r="J62">
            <v>-94.421999999999997</v>
          </cell>
          <cell r="K62">
            <v>460.096</v>
          </cell>
        </row>
        <row r="63">
          <cell r="A63" t="str">
            <v>2008/09</v>
          </cell>
          <cell r="B63" t="str">
            <v>MY</v>
          </cell>
          <cell r="D63" t="str">
            <v/>
          </cell>
          <cell r="E63">
            <v>2967.0070000000001</v>
          </cell>
          <cell r="F63">
            <v>13.263</v>
          </cell>
          <cell r="G63">
            <v>3185.3040000000001</v>
          </cell>
          <cell r="H63">
            <v>1661.922</v>
          </cell>
          <cell r="I63">
            <v>1279.2940000000001</v>
          </cell>
          <cell r="J63">
            <v>105.89</v>
          </cell>
          <cell r="K63">
            <v>3047.1060000000002</v>
          </cell>
        </row>
        <row r="64"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</row>
        <row r="65"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</row>
        <row r="66">
          <cell r="A66" t="str">
            <v>2009/10</v>
          </cell>
          <cell r="B66" t="str">
            <v>Q1</v>
          </cell>
          <cell r="D66">
            <v>138.19800000000001</v>
          </cell>
          <cell r="E66">
            <v>3360.931</v>
          </cell>
          <cell r="F66">
            <v>3.1709999999999998</v>
          </cell>
          <cell r="G66">
            <v>3502.3</v>
          </cell>
          <cell r="H66">
            <v>445.06200000000001</v>
          </cell>
          <cell r="I66">
            <v>535.97799999999995</v>
          </cell>
          <cell r="J66">
            <v>182.709</v>
          </cell>
          <cell r="K66">
            <v>1163.75</v>
          </cell>
        </row>
        <row r="67">
          <cell r="A67" t="str">
            <v>2009/10</v>
          </cell>
          <cell r="B67" t="str">
            <v>Q2</v>
          </cell>
          <cell r="D67">
            <v>2338.5500000000002</v>
          </cell>
          <cell r="F67">
            <v>5.61</v>
          </cell>
          <cell r="G67">
            <v>2344.16</v>
          </cell>
          <cell r="H67">
            <v>494.20800000000003</v>
          </cell>
          <cell r="I67">
            <v>622.28700000000003</v>
          </cell>
          <cell r="J67">
            <v>-42.404000000000003</v>
          </cell>
          <cell r="K67">
            <v>1074.0920000000001</v>
          </cell>
        </row>
        <row r="68">
          <cell r="A68" t="str">
            <v>2009/10</v>
          </cell>
          <cell r="B68" t="str">
            <v>Q3</v>
          </cell>
          <cell r="D68">
            <v>1270.068</v>
          </cell>
          <cell r="F68">
            <v>3.1819999999999999</v>
          </cell>
          <cell r="G68">
            <v>1273.25</v>
          </cell>
          <cell r="H68">
            <v>425.46899999999999</v>
          </cell>
          <cell r="I68">
            <v>218.941</v>
          </cell>
          <cell r="J68">
            <v>57.716999999999999</v>
          </cell>
          <cell r="K68">
            <v>702.12699999999995</v>
          </cell>
        </row>
        <row r="69">
          <cell r="A69" t="str">
            <v>2009/10</v>
          </cell>
          <cell r="B69" t="str">
            <v>Q4</v>
          </cell>
          <cell r="D69">
            <v>571.12300000000005</v>
          </cell>
          <cell r="F69">
            <v>2.6259999999999999</v>
          </cell>
          <cell r="G69">
            <v>573.74900000000002</v>
          </cell>
          <cell r="H69">
            <v>386.947</v>
          </cell>
          <cell r="I69">
            <v>121.842</v>
          </cell>
          <cell r="J69">
            <v>-85.924999999999997</v>
          </cell>
          <cell r="K69">
            <v>422.86399999999998</v>
          </cell>
        </row>
        <row r="70">
          <cell r="A70" t="str">
            <v>2009/10</v>
          </cell>
          <cell r="B70" t="str">
            <v>MY</v>
          </cell>
          <cell r="D70" t="str">
            <v/>
          </cell>
          <cell r="E70">
            <v>3360.931</v>
          </cell>
          <cell r="F70">
            <v>14.587999999999999</v>
          </cell>
          <cell r="G70">
            <v>3513.7170000000001</v>
          </cell>
          <cell r="H70">
            <v>1751.6859999999999</v>
          </cell>
          <cell r="I70">
            <v>1499.048</v>
          </cell>
          <cell r="J70">
            <v>112.098</v>
          </cell>
          <cell r="K70">
            <v>3362.8319999999999</v>
          </cell>
        </row>
        <row r="71"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</row>
        <row r="72"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</row>
        <row r="73">
          <cell r="A73" t="str">
            <v>2010/11</v>
          </cell>
          <cell r="B73" t="str">
            <v>Q1</v>
          </cell>
          <cell r="D73">
            <v>150.88499999999999</v>
          </cell>
          <cell r="E73">
            <v>3331.306</v>
          </cell>
          <cell r="F73">
            <v>3.7389999999999999</v>
          </cell>
          <cell r="G73">
            <v>3485.93</v>
          </cell>
          <cell r="H73">
            <v>442.63400000000001</v>
          </cell>
          <cell r="I73">
            <v>622.06299999999999</v>
          </cell>
          <cell r="J73">
            <v>143.149</v>
          </cell>
          <cell r="K73">
            <v>1207.846</v>
          </cell>
        </row>
        <row r="74">
          <cell r="A74" t="str">
            <v>2010/11</v>
          </cell>
          <cell r="B74" t="str">
            <v>Q2</v>
          </cell>
          <cell r="D74">
            <v>2278.0839999999998</v>
          </cell>
          <cell r="F74">
            <v>4.875</v>
          </cell>
          <cell r="G74">
            <v>2282.9589999999998</v>
          </cell>
          <cell r="H74">
            <v>430.928</v>
          </cell>
          <cell r="I74">
            <v>550.53499999999997</v>
          </cell>
          <cell r="J74">
            <v>52.695</v>
          </cell>
          <cell r="K74">
            <v>1034.1590000000001</v>
          </cell>
        </row>
        <row r="75">
          <cell r="A75" t="str">
            <v>2010/11</v>
          </cell>
          <cell r="B75" t="str">
            <v>Q3</v>
          </cell>
          <cell r="D75">
            <v>1248.8</v>
          </cell>
          <cell r="F75">
            <v>2.9329999999999998</v>
          </cell>
          <cell r="G75">
            <v>1251.7329999999999</v>
          </cell>
          <cell r="H75">
            <v>396.29399999999998</v>
          </cell>
          <cell r="I75">
            <v>226.85300000000001</v>
          </cell>
          <cell r="J75">
            <v>9.3030000000000008</v>
          </cell>
          <cell r="K75">
            <v>632.45000000000005</v>
          </cell>
        </row>
        <row r="76">
          <cell r="A76" t="str">
            <v>2010/11</v>
          </cell>
          <cell r="B76" t="str">
            <v>Q4</v>
          </cell>
          <cell r="D76">
            <v>619.28300000000002</v>
          </cell>
          <cell r="F76">
            <v>2.9020000000000001</v>
          </cell>
          <cell r="G76">
            <v>622.18499999999995</v>
          </cell>
          <cell r="H76">
            <v>378.18599999999998</v>
          </cell>
          <cell r="I76">
            <v>105.526</v>
          </cell>
          <cell r="J76">
            <v>-76.540999999999997</v>
          </cell>
          <cell r="K76">
            <v>407.17200000000003</v>
          </cell>
        </row>
        <row r="77">
          <cell r="A77" t="str">
            <v>2010/11</v>
          </cell>
          <cell r="B77" t="str">
            <v>MY</v>
          </cell>
          <cell r="D77" t="str">
            <v/>
          </cell>
          <cell r="E77">
            <v>3331.306</v>
          </cell>
          <cell r="F77">
            <v>14.449</v>
          </cell>
          <cell r="G77">
            <v>3496.64</v>
          </cell>
          <cell r="H77">
            <v>1648.0429999999999</v>
          </cell>
          <cell r="I77">
            <v>1504.9780000000001</v>
          </cell>
          <cell r="J77">
            <v>128.607</v>
          </cell>
          <cell r="K77">
            <v>3281.627</v>
          </cell>
        </row>
        <row r="78"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</row>
        <row r="79"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</row>
        <row r="80">
          <cell r="A80" t="str">
            <v>2011/12</v>
          </cell>
          <cell r="B80" t="str">
            <v>Q1</v>
          </cell>
          <cell r="D80">
            <v>215.01300000000001</v>
          </cell>
          <cell r="E80">
            <v>3097.1790000000001</v>
          </cell>
          <cell r="F80">
            <v>2.8439999999999999</v>
          </cell>
          <cell r="G80">
            <v>3315.0360000000001</v>
          </cell>
          <cell r="I80">
            <v>424.83199999999999</v>
          </cell>
          <cell r="K80">
            <v>945.15099999999995</v>
          </cell>
        </row>
        <row r="81">
          <cell r="A81" t="str">
            <v>2011/12</v>
          </cell>
          <cell r="B81" t="str">
            <v>Q2</v>
          </cell>
          <cell r="D81">
            <v>2369.8850000000002</v>
          </cell>
          <cell r="F81">
            <v>3.1419999999999999</v>
          </cell>
          <cell r="G81">
            <v>2373.027</v>
          </cell>
          <cell r="I81">
            <v>479.45800000000003</v>
          </cell>
          <cell r="K81">
            <v>998.53899999999999</v>
          </cell>
        </row>
        <row r="82">
          <cell r="A82" t="str">
            <v>2011/12</v>
          </cell>
          <cell r="B82" t="str">
            <v>Q3</v>
          </cell>
          <cell r="D82">
            <v>1374.4880000000001</v>
          </cell>
          <cell r="F82">
            <v>5.3310000000000004</v>
          </cell>
          <cell r="G82">
            <v>1379.819</v>
          </cell>
          <cell r="I82">
            <v>256.97899999999998</v>
          </cell>
          <cell r="K82">
            <v>712.35400000000004</v>
          </cell>
        </row>
        <row r="83">
          <cell r="A83" t="str">
            <v>2011/12</v>
          </cell>
          <cell r="B83" t="str">
            <v>Q4</v>
          </cell>
          <cell r="D83">
            <v>667.46500000000003</v>
          </cell>
          <cell r="F83">
            <v>4.8150000000000004</v>
          </cell>
          <cell r="G83">
            <v>672.28</v>
          </cell>
          <cell r="I83">
            <v>203.982</v>
          </cell>
          <cell r="K83">
            <v>502.91</v>
          </cell>
        </row>
        <row r="84">
          <cell r="A84" t="str">
            <v>2011/12</v>
          </cell>
          <cell r="B84" t="str">
            <v>MY</v>
          </cell>
          <cell r="D84" t="str">
            <v/>
          </cell>
          <cell r="E84">
            <v>3097.1790000000001</v>
          </cell>
          <cell r="F84">
            <v>16.132000000000001</v>
          </cell>
          <cell r="G84">
            <v>3328.3240000000001</v>
          </cell>
          <cell r="H84">
            <v>1703.019</v>
          </cell>
          <cell r="I84">
            <v>1365.251</v>
          </cell>
          <cell r="J84">
            <v>90.683999999999997</v>
          </cell>
          <cell r="K84">
            <v>3158.9540000000002</v>
          </cell>
        </row>
        <row r="85"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</row>
        <row r="86"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</row>
        <row r="87">
          <cell r="A87" t="str">
            <v>2012/13</v>
          </cell>
          <cell r="B87" t="str">
            <v>Q1</v>
          </cell>
          <cell r="D87">
            <v>169.37</v>
          </cell>
          <cell r="E87">
            <v>3042.0439999999999</v>
          </cell>
          <cell r="F87">
            <v>4.2859999999999996</v>
          </cell>
          <cell r="G87">
            <v>3215.7</v>
          </cell>
          <cell r="I87">
            <v>626.178</v>
          </cell>
          <cell r="K87">
            <v>1249.539</v>
          </cell>
        </row>
        <row r="88">
          <cell r="A88" t="str">
            <v>2012/13</v>
          </cell>
          <cell r="B88" t="str">
            <v>Q2</v>
          </cell>
          <cell r="D88">
            <v>1966.1610000000001</v>
          </cell>
          <cell r="F88">
            <v>4.718</v>
          </cell>
          <cell r="G88">
            <v>1970.8789999999999</v>
          </cell>
          <cell r="I88">
            <v>522.18700000000001</v>
          </cell>
          <cell r="K88">
            <v>972.85900000000004</v>
          </cell>
        </row>
        <row r="89">
          <cell r="A89" t="str">
            <v>2012/13</v>
          </cell>
          <cell r="B89" t="str">
            <v>Q3</v>
          </cell>
          <cell r="D89">
            <v>998.02</v>
          </cell>
          <cell r="F89">
            <v>7.8380000000000001</v>
          </cell>
          <cell r="G89">
            <v>1005.8579999999999</v>
          </cell>
          <cell r="I89">
            <v>128.66499999999999</v>
          </cell>
          <cell r="K89">
            <v>571.19399999999996</v>
          </cell>
        </row>
        <row r="90">
          <cell r="A90" t="str">
            <v>2012/13</v>
          </cell>
          <cell r="B90" t="str">
            <v>Q4</v>
          </cell>
          <cell r="D90">
            <v>434.66399999999999</v>
          </cell>
          <cell r="F90">
            <v>23.673999999999999</v>
          </cell>
          <cell r="G90">
            <v>458.33800000000002</v>
          </cell>
          <cell r="I90">
            <v>50.496000000000002</v>
          </cell>
          <cell r="K90">
            <v>317.78100000000001</v>
          </cell>
        </row>
        <row r="91">
          <cell r="A91" t="str">
            <v>2012/13</v>
          </cell>
          <cell r="B91" t="str">
            <v>MY</v>
          </cell>
          <cell r="D91" t="str">
            <v/>
          </cell>
          <cell r="E91">
            <v>3042.0439999999999</v>
          </cell>
          <cell r="F91">
            <v>40.515999999999998</v>
          </cell>
          <cell r="G91">
            <v>3251.93</v>
          </cell>
          <cell r="H91">
            <v>1688.903</v>
          </cell>
          <cell r="I91">
            <v>1327.5260000000001</v>
          </cell>
          <cell r="J91">
            <v>94.944000000000003</v>
          </cell>
          <cell r="K91">
            <v>3111.373</v>
          </cell>
        </row>
        <row r="92"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</row>
        <row r="93"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</row>
        <row r="94">
          <cell r="A94" t="str">
            <v>2013/14</v>
          </cell>
          <cell r="B94" t="str">
            <v>Q1</v>
          </cell>
          <cell r="D94">
            <v>140.55699999999999</v>
          </cell>
          <cell r="E94">
            <v>3357.0039999999999</v>
          </cell>
          <cell r="F94">
            <v>7.4880000000000004</v>
          </cell>
          <cell r="G94">
            <v>3505.049</v>
          </cell>
          <cell r="I94">
            <v>676.50599999999997</v>
          </cell>
          <cell r="K94">
            <v>1351.4280000000001</v>
          </cell>
        </row>
        <row r="95">
          <cell r="A95" t="str">
            <v>2013/14</v>
          </cell>
          <cell r="B95" t="str">
            <v>Q2</v>
          </cell>
          <cell r="D95">
            <v>2153.6210000000001</v>
          </cell>
          <cell r="F95">
            <v>8.4160000000000004</v>
          </cell>
          <cell r="G95">
            <v>2162.0369999999998</v>
          </cell>
          <cell r="I95">
            <v>712.22900000000004</v>
          </cell>
          <cell r="K95">
            <v>1168.2090000000001</v>
          </cell>
        </row>
        <row r="96">
          <cell r="A96" t="str">
            <v>2013/14</v>
          </cell>
          <cell r="B96" t="str">
            <v>Q3</v>
          </cell>
          <cell r="D96">
            <v>993.82799999999997</v>
          </cell>
          <cell r="F96">
            <v>25.587</v>
          </cell>
          <cell r="G96">
            <v>1019.415</v>
          </cell>
          <cell r="I96">
            <v>192.04400000000001</v>
          </cell>
          <cell r="K96">
            <v>614.37</v>
          </cell>
        </row>
        <row r="97">
          <cell r="A97" t="str">
            <v>2013/14</v>
          </cell>
          <cell r="B97" t="str">
            <v>Q4</v>
          </cell>
          <cell r="D97">
            <v>405.04500000000002</v>
          </cell>
          <cell r="F97">
            <v>30.286000000000001</v>
          </cell>
          <cell r="G97">
            <v>435.33100000000002</v>
          </cell>
          <cell r="I97">
            <v>57.78</v>
          </cell>
          <cell r="K97">
            <v>343.34</v>
          </cell>
        </row>
        <row r="98">
          <cell r="A98" t="str">
            <v>2013/14</v>
          </cell>
          <cell r="B98" t="str">
            <v>MY</v>
          </cell>
          <cell r="D98" t="str">
            <v/>
          </cell>
          <cell r="E98">
            <v>3357.0039999999999</v>
          </cell>
          <cell r="F98">
            <v>71.777000000000001</v>
          </cell>
          <cell r="G98">
            <v>3569.3380000000002</v>
          </cell>
          <cell r="H98">
            <v>1733.8879999999999</v>
          </cell>
          <cell r="I98">
            <v>1638.559</v>
          </cell>
          <cell r="J98">
            <v>104.9</v>
          </cell>
          <cell r="K98">
            <v>3477.3470000000002</v>
          </cell>
        </row>
        <row r="99"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</row>
        <row r="100"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</row>
        <row r="101">
          <cell r="A101" t="str">
            <v>2014/15</v>
          </cell>
          <cell r="B101" t="str">
            <v>Q1</v>
          </cell>
          <cell r="D101">
            <v>91.991</v>
          </cell>
          <cell r="E101">
            <v>3928.07</v>
          </cell>
          <cell r="F101">
            <v>7.6269999999999998</v>
          </cell>
          <cell r="G101">
            <v>4027.6880000000001</v>
          </cell>
          <cell r="I101">
            <v>812.56899999999996</v>
          </cell>
          <cell r="K101">
            <v>1499.944</v>
          </cell>
        </row>
        <row r="102">
          <cell r="A102" t="str">
            <v>2014/15</v>
          </cell>
          <cell r="B102" t="str">
            <v>Q2</v>
          </cell>
          <cell r="D102">
            <v>2527.7440000000001</v>
          </cell>
          <cell r="F102">
            <v>8.6989999999999998</v>
          </cell>
          <cell r="G102">
            <v>2536.4430000000002</v>
          </cell>
          <cell r="I102">
            <v>725.40700000000004</v>
          </cell>
          <cell r="K102">
            <v>1209.8440000000001</v>
          </cell>
        </row>
        <row r="103">
          <cell r="A103" t="str">
            <v>2014/15</v>
          </cell>
          <cell r="B103" t="str">
            <v>Q3</v>
          </cell>
          <cell r="D103">
            <v>1326.5989999999999</v>
          </cell>
          <cell r="F103">
            <v>8.2560000000000002</v>
          </cell>
          <cell r="G103">
            <v>1334.855</v>
          </cell>
          <cell r="I103">
            <v>187.76599999999999</v>
          </cell>
          <cell r="K103">
            <v>707.78700000000003</v>
          </cell>
        </row>
        <row r="104">
          <cell r="A104" t="str">
            <v>2014/15</v>
          </cell>
          <cell r="B104" t="str">
            <v>Q4</v>
          </cell>
          <cell r="D104">
            <v>627.06799999999998</v>
          </cell>
          <cell r="F104">
            <v>8.6630000000000003</v>
          </cell>
          <cell r="G104">
            <v>635.73099999999999</v>
          </cell>
          <cell r="H104">
            <v>451.97899999999998</v>
          </cell>
          <cell r="I104">
            <v>116.681</v>
          </cell>
          <cell r="J104">
            <v>-123.539</v>
          </cell>
          <cell r="K104">
            <v>445.12099999999998</v>
          </cell>
        </row>
        <row r="105">
          <cell r="A105" t="str">
            <v>2014/15</v>
          </cell>
          <cell r="B105" t="str">
            <v>MY</v>
          </cell>
          <cell r="D105" t="str">
            <v/>
          </cell>
          <cell r="E105">
            <v>3928.07</v>
          </cell>
          <cell r="F105">
            <v>33.244999999999997</v>
          </cell>
          <cell r="G105">
            <v>4053.306</v>
          </cell>
          <cell r="H105">
            <v>1873.4939999999999</v>
          </cell>
          <cell r="I105">
            <v>1842.423</v>
          </cell>
          <cell r="J105">
            <v>146.779</v>
          </cell>
          <cell r="K105">
            <v>3862.6959999999999</v>
          </cell>
        </row>
        <row r="106"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</row>
        <row r="107"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</row>
        <row r="108">
          <cell r="D108" t="str">
            <v/>
          </cell>
          <cell r="E108" t="str">
            <v/>
          </cell>
          <cell r="F108">
            <v>2.448</v>
          </cell>
          <cell r="G108" t="str">
            <v/>
          </cell>
          <cell r="H108">
            <v>134.56299999999999</v>
          </cell>
          <cell r="I108">
            <v>86.331999999999994</v>
          </cell>
          <cell r="J108" t="str">
            <v/>
          </cell>
          <cell r="K108" t="str">
            <v/>
          </cell>
        </row>
        <row r="109">
          <cell r="D109" t="str">
            <v/>
          </cell>
          <cell r="E109" t="str">
            <v/>
          </cell>
          <cell r="F109">
            <v>2.214</v>
          </cell>
          <cell r="G109" t="str">
            <v/>
          </cell>
          <cell r="H109">
            <v>170.13399999999999</v>
          </cell>
          <cell r="I109">
            <v>368.108</v>
          </cell>
          <cell r="J109" t="str">
            <v/>
          </cell>
          <cell r="K109" t="str">
            <v/>
          </cell>
        </row>
        <row r="110">
          <cell r="D110" t="str">
            <v/>
          </cell>
          <cell r="E110" t="str">
            <v/>
          </cell>
          <cell r="F110">
            <v>1.843</v>
          </cell>
          <cell r="G110" t="str">
            <v/>
          </cell>
          <cell r="H110">
            <v>165.78399999999999</v>
          </cell>
          <cell r="I110">
            <v>336.91300000000001</v>
          </cell>
          <cell r="J110" t="str">
            <v/>
          </cell>
          <cell r="K110" t="str">
            <v/>
          </cell>
        </row>
        <row r="111">
          <cell r="A111" t="str">
            <v>2015/16</v>
          </cell>
          <cell r="B111" t="str">
            <v>Q1</v>
          </cell>
          <cell r="D111">
            <v>190.61</v>
          </cell>
          <cell r="E111">
            <v>3926.779</v>
          </cell>
          <cell r="F111">
            <v>6.5049999999999999</v>
          </cell>
          <cell r="G111">
            <v>4123.8940000000002</v>
          </cell>
          <cell r="H111">
            <v>470.48099999999999</v>
          </cell>
          <cell r="I111">
            <v>791.35299999999995</v>
          </cell>
          <cell r="J111">
            <v>147.983</v>
          </cell>
          <cell r="K111">
            <v>1409.817</v>
          </cell>
        </row>
        <row r="112">
          <cell r="D112" t="str">
            <v/>
          </cell>
          <cell r="E112" t="str">
            <v/>
          </cell>
          <cell r="F112">
            <v>2.145</v>
          </cell>
          <cell r="G112" t="str">
            <v/>
          </cell>
          <cell r="H112">
            <v>167.04400000000001</v>
          </cell>
          <cell r="I112">
            <v>249.79400000000001</v>
          </cell>
          <cell r="J112" t="str">
            <v/>
          </cell>
          <cell r="K112" t="str">
            <v/>
          </cell>
        </row>
        <row r="113">
          <cell r="D113" t="str">
            <v/>
          </cell>
          <cell r="E113" t="str">
            <v/>
          </cell>
          <cell r="F113">
            <v>2.86</v>
          </cell>
          <cell r="G113" t="str">
            <v/>
          </cell>
          <cell r="H113">
            <v>160.46799999999999</v>
          </cell>
          <cell r="I113">
            <v>223.61</v>
          </cell>
          <cell r="J113" t="str">
            <v/>
          </cell>
          <cell r="K113" t="str">
            <v/>
          </cell>
        </row>
        <row r="114">
          <cell r="D114" t="str">
            <v/>
          </cell>
          <cell r="E114" t="str">
            <v/>
          </cell>
          <cell r="F114">
            <v>1.242</v>
          </cell>
          <cell r="G114" t="str">
            <v/>
          </cell>
          <cell r="H114">
            <v>154.62200000000001</v>
          </cell>
          <cell r="I114">
            <v>208.886</v>
          </cell>
          <cell r="J114" t="str">
            <v/>
          </cell>
          <cell r="K114" t="str">
            <v/>
          </cell>
        </row>
        <row r="115">
          <cell r="A115" t="str">
            <v>2015/16</v>
          </cell>
          <cell r="B115" t="str">
            <v>Q2</v>
          </cell>
          <cell r="D115">
            <v>2714.0770000000002</v>
          </cell>
          <cell r="F115">
            <v>6.2469999999999999</v>
          </cell>
          <cell r="G115">
            <v>2720.3240000000001</v>
          </cell>
          <cell r="H115">
            <v>482.13400000000001</v>
          </cell>
          <cell r="I115">
            <v>682.29</v>
          </cell>
          <cell r="J115">
            <v>24.992999999999999</v>
          </cell>
          <cell r="K115">
            <v>1189.4179999999999</v>
          </cell>
        </row>
        <row r="116">
          <cell r="D116" t="str">
            <v/>
          </cell>
          <cell r="E116" t="str">
            <v/>
          </cell>
          <cell r="F116">
            <v>2.496</v>
          </cell>
          <cell r="G116" t="str">
            <v/>
          </cell>
          <cell r="H116">
            <v>166.38800000000001</v>
          </cell>
          <cell r="I116">
            <v>97.066999999999993</v>
          </cell>
          <cell r="J116" t="str">
            <v/>
          </cell>
          <cell r="K116" t="str">
            <v/>
          </cell>
        </row>
        <row r="117">
          <cell r="D117" t="str">
            <v/>
          </cell>
          <cell r="E117" t="str">
            <v/>
          </cell>
          <cell r="F117">
            <v>1.8280000000000001</v>
          </cell>
          <cell r="G117" t="str">
            <v/>
          </cell>
          <cell r="H117">
            <v>158.16999999999999</v>
          </cell>
          <cell r="I117">
            <v>49.976999999999997</v>
          </cell>
          <cell r="J117" t="str">
            <v/>
          </cell>
          <cell r="K117" t="str">
            <v/>
          </cell>
        </row>
        <row r="118">
          <cell r="D118" t="str">
            <v/>
          </cell>
          <cell r="E118" t="str">
            <v/>
          </cell>
          <cell r="F118">
            <v>0.83</v>
          </cell>
          <cell r="G118" t="str">
            <v/>
          </cell>
          <cell r="H118">
            <v>160.86099999999999</v>
          </cell>
          <cell r="I118">
            <v>32.603999999999999</v>
          </cell>
          <cell r="J118" t="str">
            <v/>
          </cell>
          <cell r="K118" t="str">
            <v/>
          </cell>
        </row>
        <row r="119">
          <cell r="A119" t="str">
            <v>2015/16</v>
          </cell>
          <cell r="B119" t="str">
            <v>Q3</v>
          </cell>
          <cell r="D119">
            <v>1530.9059999999999</v>
          </cell>
          <cell r="F119">
            <v>5.1539999999999999</v>
          </cell>
          <cell r="G119">
            <v>1536.06</v>
          </cell>
          <cell r="H119">
            <v>485.41800000000001</v>
          </cell>
          <cell r="I119">
            <v>179.648</v>
          </cell>
          <cell r="J119">
            <v>-0.78800000000000003</v>
          </cell>
          <cell r="K119">
            <v>664.279</v>
          </cell>
        </row>
        <row r="120">
          <cell r="D120" t="str">
            <v/>
          </cell>
          <cell r="E120" t="str">
            <v/>
          </cell>
          <cell r="F120">
            <v>2.39</v>
          </cell>
          <cell r="G120" t="str">
            <v/>
          </cell>
          <cell r="H120">
            <v>154.125</v>
          </cell>
          <cell r="I120">
            <v>38.656999999999996</v>
          </cell>
          <cell r="J120" t="str">
            <v/>
          </cell>
          <cell r="K120" t="str">
            <v/>
          </cell>
        </row>
        <row r="121">
          <cell r="D121" t="str">
            <v/>
          </cell>
          <cell r="E121" t="str">
            <v/>
          </cell>
          <cell r="F121">
            <v>1.4339999999999999</v>
          </cell>
          <cell r="G121" t="str">
            <v/>
          </cell>
          <cell r="H121">
            <v>153.45099999999999</v>
          </cell>
          <cell r="I121">
            <v>97.796999999999997</v>
          </cell>
          <cell r="J121" t="str">
            <v/>
          </cell>
          <cell r="K121" t="str">
            <v/>
          </cell>
        </row>
        <row r="122">
          <cell r="D122" t="str">
            <v/>
          </cell>
          <cell r="E122" t="str">
            <v/>
          </cell>
          <cell r="F122">
            <v>1.8120000000000001</v>
          </cell>
          <cell r="G122" t="str">
            <v/>
          </cell>
          <cell r="H122">
            <v>140.626</v>
          </cell>
          <cell r="I122">
            <v>152.89400000000001</v>
          </cell>
          <cell r="J122" t="str">
            <v/>
          </cell>
          <cell r="K122" t="str">
            <v/>
          </cell>
        </row>
        <row r="123">
          <cell r="A123" t="str">
            <v>2015/16</v>
          </cell>
          <cell r="B123" t="str">
            <v>Q4</v>
          </cell>
          <cell r="D123">
            <v>871.78099999999995</v>
          </cell>
          <cell r="F123">
            <v>5.6360000000000001</v>
          </cell>
          <cell r="G123">
            <v>877.41700000000003</v>
          </cell>
          <cell r="H123">
            <v>448.20299999999997</v>
          </cell>
          <cell r="I123">
            <v>289.34699999999998</v>
          </cell>
          <cell r="J123">
            <v>-56.863</v>
          </cell>
          <cell r="K123">
            <v>680.68799999999999</v>
          </cell>
        </row>
        <row r="124">
          <cell r="A124" t="str">
            <v>2015/16</v>
          </cell>
          <cell r="B124" t="str">
            <v>MY</v>
          </cell>
          <cell r="D124" t="str">
            <v/>
          </cell>
          <cell r="E124">
            <v>3926.779</v>
          </cell>
          <cell r="F124">
            <v>23.541</v>
          </cell>
          <cell r="G124">
            <v>4140.93</v>
          </cell>
          <cell r="H124">
            <v>1886.2370000000001</v>
          </cell>
          <cell r="I124">
            <v>1942.6389999999999</v>
          </cell>
          <cell r="J124">
            <v>115.325</v>
          </cell>
          <cell r="K124">
            <v>3944.201</v>
          </cell>
        </row>
        <row r="125"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</row>
        <row r="126"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</row>
        <row r="127">
          <cell r="D127" t="str">
            <v/>
          </cell>
          <cell r="E127" t="str">
            <v/>
          </cell>
          <cell r="F127">
            <v>2.3079999999999998</v>
          </cell>
          <cell r="G127" t="str">
            <v/>
          </cell>
          <cell r="H127">
            <v>138.267</v>
          </cell>
          <cell r="I127">
            <v>137.77799999999999</v>
          </cell>
          <cell r="J127" t="str">
            <v/>
          </cell>
          <cell r="K127" t="str">
            <v/>
          </cell>
        </row>
        <row r="128">
          <cell r="D128" t="str">
            <v/>
          </cell>
          <cell r="E128" t="str">
            <v/>
          </cell>
          <cell r="F128">
            <v>1.7729999999999999</v>
          </cell>
          <cell r="G128" t="str">
            <v/>
          </cell>
          <cell r="H128">
            <v>175.881</v>
          </cell>
          <cell r="I128">
            <v>410.41500000000002</v>
          </cell>
          <cell r="J128" t="str">
            <v/>
          </cell>
          <cell r="K128" t="str">
            <v/>
          </cell>
        </row>
        <row r="129">
          <cell r="D129" t="str">
            <v/>
          </cell>
          <cell r="E129" t="str">
            <v/>
          </cell>
          <cell r="F129">
            <v>1.3819999999999999</v>
          </cell>
          <cell r="G129" t="str">
            <v/>
          </cell>
          <cell r="H129">
            <v>170.73500000000001</v>
          </cell>
          <cell r="I129">
            <v>380.80399999999997</v>
          </cell>
          <cell r="J129" t="str">
            <v/>
          </cell>
          <cell r="K129" t="str">
            <v/>
          </cell>
        </row>
        <row r="130">
          <cell r="A130" t="str">
            <v>2016/17</v>
          </cell>
          <cell r="B130" t="str">
            <v>Q1</v>
          </cell>
          <cell r="D130">
            <v>196.72900000000001</v>
          </cell>
          <cell r="E130">
            <v>4296.4960000000001</v>
          </cell>
          <cell r="F130">
            <v>5.4640000000000004</v>
          </cell>
          <cell r="G130">
            <v>4498.6890000000003</v>
          </cell>
          <cell r="H130">
            <v>484.88200000000001</v>
          </cell>
          <cell r="I130">
            <v>928.99699999999996</v>
          </cell>
          <cell r="J130">
            <v>185.75399999999999</v>
          </cell>
          <cell r="K130">
            <v>1599.633</v>
          </cell>
        </row>
        <row r="131">
          <cell r="D131" t="str">
            <v/>
          </cell>
          <cell r="E131" t="str">
            <v/>
          </cell>
          <cell r="F131">
            <v>1.171</v>
          </cell>
          <cell r="G131" t="str">
            <v/>
          </cell>
          <cell r="H131">
            <v>169.05</v>
          </cell>
          <cell r="I131">
            <v>293.21899999999999</v>
          </cell>
          <cell r="J131" t="str">
            <v/>
          </cell>
          <cell r="K131" t="str">
            <v/>
          </cell>
        </row>
        <row r="132">
          <cell r="D132" t="str">
            <v/>
          </cell>
          <cell r="E132" t="str">
            <v/>
          </cell>
          <cell r="F132">
            <v>3.2130000000000001</v>
          </cell>
          <cell r="G132" t="str">
            <v/>
          </cell>
          <cell r="H132">
            <v>171.32400000000001</v>
          </cell>
          <cell r="I132">
            <v>257.78699999999998</v>
          </cell>
          <cell r="J132" t="str">
            <v/>
          </cell>
          <cell r="K132" t="str">
            <v/>
          </cell>
        </row>
        <row r="133">
          <cell r="D133" t="str">
            <v/>
          </cell>
          <cell r="E133" t="str">
            <v/>
          </cell>
          <cell r="F133">
            <v>2.258</v>
          </cell>
          <cell r="G133" t="str">
            <v/>
          </cell>
          <cell r="H133">
            <v>151.411</v>
          </cell>
          <cell r="I133">
            <v>163.85900000000001</v>
          </cell>
          <cell r="J133" t="str">
            <v/>
          </cell>
          <cell r="K133" t="str">
            <v/>
          </cell>
        </row>
        <row r="134">
          <cell r="A134" t="str">
            <v>2016/17</v>
          </cell>
          <cell r="B134" t="str">
            <v>Q2</v>
          </cell>
          <cell r="D134">
            <v>2899.056</v>
          </cell>
          <cell r="F134">
            <v>6.6429999999999998</v>
          </cell>
          <cell r="G134">
            <v>2905.6990000000001</v>
          </cell>
          <cell r="H134">
            <v>491.78500000000003</v>
          </cell>
          <cell r="I134">
            <v>714.86500000000001</v>
          </cell>
          <cell r="J134">
            <v>-39.884</v>
          </cell>
          <cell r="K134">
            <v>1166.7660000000001</v>
          </cell>
        </row>
        <row r="135">
          <cell r="D135" t="str">
            <v/>
          </cell>
          <cell r="E135" t="str">
            <v/>
          </cell>
          <cell r="F135">
            <v>2.2200000000000002</v>
          </cell>
          <cell r="G135" t="str">
            <v/>
          </cell>
          <cell r="H135">
            <v>160.76499999999999</v>
          </cell>
          <cell r="I135">
            <v>118.29900000000001</v>
          </cell>
          <cell r="J135" t="str">
            <v/>
          </cell>
          <cell r="K135" t="str">
            <v/>
          </cell>
        </row>
        <row r="136">
          <cell r="D136" t="str">
            <v/>
          </cell>
          <cell r="E136" t="str">
            <v/>
          </cell>
          <cell r="F136">
            <v>1.6040000000000001</v>
          </cell>
          <cell r="G136" t="str">
            <v/>
          </cell>
          <cell r="H136">
            <v>150.315</v>
          </cell>
          <cell r="I136">
            <v>90.341999999999999</v>
          </cell>
          <cell r="J136" t="str">
            <v/>
          </cell>
          <cell r="K136" t="str">
            <v/>
          </cell>
        </row>
        <row r="137">
          <cell r="D137" t="str">
            <v/>
          </cell>
          <cell r="E137" t="str">
            <v/>
          </cell>
          <cell r="F137">
            <v>2.125</v>
          </cell>
          <cell r="G137" t="str">
            <v/>
          </cell>
          <cell r="H137">
            <v>157.97999999999999</v>
          </cell>
          <cell r="I137">
            <v>53.313000000000002</v>
          </cell>
          <cell r="J137" t="str">
            <v/>
          </cell>
          <cell r="K137" t="str">
            <v/>
          </cell>
        </row>
        <row r="138">
          <cell r="A138" t="str">
            <v>2016/17</v>
          </cell>
          <cell r="B138" t="str">
            <v>Q3</v>
          </cell>
          <cell r="D138">
            <v>1738.933</v>
          </cell>
          <cell r="F138">
            <v>5.9489999999999998</v>
          </cell>
          <cell r="G138">
            <v>1744.8820000000001</v>
          </cell>
          <cell r="H138">
            <v>469.06</v>
          </cell>
          <cell r="I138">
            <v>261.95400000000001</v>
          </cell>
          <cell r="J138">
            <v>48.012</v>
          </cell>
          <cell r="K138">
            <v>779.02599999999995</v>
          </cell>
        </row>
        <row r="139">
          <cell r="D139" t="str">
            <v/>
          </cell>
          <cell r="E139" t="str">
            <v/>
          </cell>
          <cell r="F139">
            <v>1.054</v>
          </cell>
          <cell r="G139" t="str">
            <v/>
          </cell>
          <cell r="H139">
            <v>148.22900000000001</v>
          </cell>
          <cell r="I139">
            <v>65.634</v>
          </cell>
          <cell r="J139" t="str">
            <v/>
          </cell>
          <cell r="K139" t="str">
            <v/>
          </cell>
        </row>
        <row r="140">
          <cell r="D140" t="str">
            <v/>
          </cell>
          <cell r="E140" t="str">
            <v/>
          </cell>
          <cell r="F140">
            <v>1.718</v>
          </cell>
          <cell r="G140" t="str">
            <v/>
          </cell>
          <cell r="H140">
            <v>155.62299999999999</v>
          </cell>
          <cell r="I140">
            <v>85.191000000000003</v>
          </cell>
          <cell r="J140" t="str">
            <v/>
          </cell>
          <cell r="K140" t="str">
            <v/>
          </cell>
        </row>
        <row r="141">
          <cell r="D141" t="str">
            <v/>
          </cell>
          <cell r="E141" t="str">
            <v/>
          </cell>
          <cell r="F141">
            <v>1.4530000000000001</v>
          </cell>
          <cell r="G141" t="str">
            <v/>
          </cell>
          <cell r="H141">
            <v>151.62</v>
          </cell>
          <cell r="I141">
            <v>109.872</v>
          </cell>
          <cell r="J141" t="str">
            <v/>
          </cell>
          <cell r="K141" t="str">
            <v/>
          </cell>
        </row>
        <row r="142">
          <cell r="A142" t="str">
            <v>2016/17</v>
          </cell>
          <cell r="B142" t="str">
            <v>Q4</v>
          </cell>
          <cell r="D142">
            <v>965.85599999999999</v>
          </cell>
          <cell r="F142">
            <v>4.2249999999999996</v>
          </cell>
          <cell r="G142">
            <v>970.08100000000002</v>
          </cell>
          <cell r="H142">
            <v>455.471</v>
          </cell>
          <cell r="I142">
            <v>260.69600000000003</v>
          </cell>
          <cell r="J142">
            <v>-47.680999999999997</v>
          </cell>
          <cell r="K142">
            <v>668.48599999999999</v>
          </cell>
        </row>
        <row r="143">
          <cell r="A143" t="str">
            <v>2016/17</v>
          </cell>
          <cell r="B143" t="str">
            <v>MY</v>
          </cell>
          <cell r="D143" t="str">
            <v/>
          </cell>
          <cell r="E143">
            <v>4296.4960000000001</v>
          </cell>
          <cell r="F143">
            <v>22.280999999999999</v>
          </cell>
          <cell r="G143">
            <v>4515.5060000000003</v>
          </cell>
          <cell r="H143">
            <v>1901.1980000000001</v>
          </cell>
          <cell r="I143">
            <v>2166.5120000000002</v>
          </cell>
          <cell r="J143">
            <v>146.20099999999999</v>
          </cell>
          <cell r="K143">
            <v>4213.9110000000001</v>
          </cell>
        </row>
        <row r="144"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</row>
        <row r="145"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</row>
        <row r="146">
          <cell r="D146" t="str">
            <v/>
          </cell>
          <cell r="E146" t="str">
            <v/>
          </cell>
          <cell r="F146">
            <v>1.3520000000000001</v>
          </cell>
          <cell r="G146" t="str">
            <v/>
          </cell>
          <cell r="H146">
            <v>145.374</v>
          </cell>
          <cell r="I146">
            <v>165.529</v>
          </cell>
          <cell r="J146" t="str">
            <v/>
          </cell>
          <cell r="K146" t="str">
            <v/>
          </cell>
        </row>
        <row r="147">
          <cell r="D147" t="str">
            <v/>
          </cell>
          <cell r="E147" t="str">
            <v/>
          </cell>
          <cell r="F147">
            <v>2.8420000000000001</v>
          </cell>
          <cell r="G147" t="str">
            <v/>
          </cell>
          <cell r="H147">
            <v>175.91300000000001</v>
          </cell>
          <cell r="I147">
            <v>354.35599999999999</v>
          </cell>
          <cell r="J147" t="str">
            <v/>
          </cell>
          <cell r="K147" t="str">
            <v/>
          </cell>
        </row>
        <row r="148">
          <cell r="D148" t="str">
            <v/>
          </cell>
          <cell r="E148" t="str">
            <v/>
          </cell>
          <cell r="F148">
            <v>1.4259999999999999</v>
          </cell>
          <cell r="G148" t="str">
            <v/>
          </cell>
          <cell r="H148">
            <v>173.34899999999999</v>
          </cell>
          <cell r="I148">
            <v>337.60300000000001</v>
          </cell>
          <cell r="J148" t="str">
            <v/>
          </cell>
          <cell r="K148" t="str">
            <v/>
          </cell>
        </row>
        <row r="149">
          <cell r="A149" t="str">
            <v>2017/18</v>
          </cell>
          <cell r="B149" t="str">
            <v>Q1</v>
          </cell>
          <cell r="D149">
            <v>301.59500000000003</v>
          </cell>
          <cell r="E149">
            <v>4411.6329999999998</v>
          </cell>
          <cell r="F149">
            <v>5.62</v>
          </cell>
          <cell r="G149">
            <v>4718.848</v>
          </cell>
          <cell r="H149">
            <v>494.63600000000002</v>
          </cell>
          <cell r="I149">
            <v>857.48800000000006</v>
          </cell>
          <cell r="J149">
            <v>206.04499999999999</v>
          </cell>
          <cell r="K149">
            <v>1558.1690000000001</v>
          </cell>
        </row>
        <row r="150">
          <cell r="D150" t="str">
            <v/>
          </cell>
          <cell r="E150" t="str">
            <v/>
          </cell>
          <cell r="F150">
            <v>2.3279999999999998</v>
          </cell>
          <cell r="G150" t="str">
            <v/>
          </cell>
          <cell r="H150">
            <v>176.34100000000001</v>
          </cell>
          <cell r="I150">
            <v>228.726</v>
          </cell>
          <cell r="J150" t="str">
            <v/>
          </cell>
          <cell r="K150" t="str">
            <v/>
          </cell>
        </row>
        <row r="151">
          <cell r="D151" t="str">
            <v/>
          </cell>
          <cell r="E151" t="str">
            <v/>
          </cell>
          <cell r="F151">
            <v>1.4630000000000001</v>
          </cell>
          <cell r="G151" t="str">
            <v/>
          </cell>
          <cell r="H151">
            <v>174.661</v>
          </cell>
          <cell r="I151">
            <v>213.381</v>
          </cell>
          <cell r="J151" t="str">
            <v/>
          </cell>
          <cell r="K151" t="str">
            <v/>
          </cell>
        </row>
        <row r="152">
          <cell r="D152" t="str">
            <v/>
          </cell>
          <cell r="E152" t="str">
            <v/>
          </cell>
          <cell r="F152">
            <v>1.1759999999999999</v>
          </cell>
          <cell r="G152" t="str">
            <v/>
          </cell>
          <cell r="H152">
            <v>164.959</v>
          </cell>
          <cell r="I152">
            <v>155.70599999999999</v>
          </cell>
          <cell r="J152" t="str">
            <v/>
          </cell>
          <cell r="K152" t="str">
            <v/>
          </cell>
        </row>
        <row r="153">
          <cell r="A153" t="str">
            <v>2017/18</v>
          </cell>
          <cell r="B153" t="str">
            <v>Q2</v>
          </cell>
          <cell r="D153">
            <v>3160.6790000000001</v>
          </cell>
          <cell r="F153">
            <v>4.9669999999999996</v>
          </cell>
          <cell r="G153">
            <v>3165.6460000000002</v>
          </cell>
          <cell r="H153">
            <v>515.96</v>
          </cell>
          <cell r="I153">
            <v>597.81299999999999</v>
          </cell>
          <cell r="J153">
            <v>-57.43</v>
          </cell>
          <cell r="K153">
            <v>1056.3430000000001</v>
          </cell>
        </row>
        <row r="154">
          <cell r="D154" t="str">
            <v/>
          </cell>
          <cell r="E154" t="str">
            <v/>
          </cell>
          <cell r="F154">
            <v>2.14</v>
          </cell>
          <cell r="G154" t="str">
            <v/>
          </cell>
          <cell r="H154">
            <v>182.17500000000001</v>
          </cell>
          <cell r="I154">
            <v>118.371</v>
          </cell>
          <cell r="J154" t="str">
            <v/>
          </cell>
          <cell r="K154" t="str">
            <v/>
          </cell>
        </row>
        <row r="155">
          <cell r="D155" t="str">
            <v/>
          </cell>
          <cell r="E155" t="str">
            <v/>
          </cell>
          <cell r="F155">
            <v>2.4180000000000001</v>
          </cell>
          <cell r="G155" t="str">
            <v/>
          </cell>
          <cell r="H155">
            <v>171.63800000000001</v>
          </cell>
          <cell r="I155">
            <v>80.632000000000005</v>
          </cell>
          <cell r="J155" t="str">
            <v/>
          </cell>
          <cell r="K155" t="str">
            <v/>
          </cell>
        </row>
        <row r="156">
          <cell r="D156" t="str">
            <v/>
          </cell>
          <cell r="E156" t="str">
            <v/>
          </cell>
          <cell r="F156">
            <v>1.8520000000000001</v>
          </cell>
          <cell r="G156" t="str">
            <v/>
          </cell>
          <cell r="H156">
            <v>172.46799999999999</v>
          </cell>
          <cell r="I156">
            <v>114.291</v>
          </cell>
          <cell r="J156" t="str">
            <v/>
          </cell>
          <cell r="K156" t="str">
            <v/>
          </cell>
        </row>
        <row r="157">
          <cell r="A157" t="str">
            <v>2017/18</v>
          </cell>
          <cell r="B157" t="str">
            <v>Q3</v>
          </cell>
          <cell r="D157">
            <v>2109.3029999999999</v>
          </cell>
          <cell r="F157">
            <v>6.41</v>
          </cell>
          <cell r="G157">
            <v>2115.7130000000002</v>
          </cell>
          <cell r="H157">
            <v>526.28099999999995</v>
          </cell>
          <cell r="I157">
            <v>313.29500000000002</v>
          </cell>
          <cell r="J157">
            <v>56.808</v>
          </cell>
          <cell r="K157">
            <v>896.38400000000001</v>
          </cell>
        </row>
        <row r="158">
          <cell r="D158" t="str">
            <v/>
          </cell>
          <cell r="E158" t="str">
            <v/>
          </cell>
          <cell r="F158">
            <v>1.9</v>
          </cell>
          <cell r="G158" t="str">
            <v/>
          </cell>
          <cell r="H158">
            <v>169.565</v>
          </cell>
          <cell r="I158">
            <v>114.754</v>
          </cell>
          <cell r="J158" t="str">
            <v/>
          </cell>
          <cell r="K158" t="str">
            <v/>
          </cell>
        </row>
        <row r="159">
          <cell r="D159" t="str">
            <v/>
          </cell>
          <cell r="E159" t="str">
            <v/>
          </cell>
          <cell r="F159">
            <v>2.1619999999999999</v>
          </cell>
          <cell r="G159" t="str">
            <v/>
          </cell>
          <cell r="H159">
            <v>178.86099999999999</v>
          </cell>
          <cell r="I159">
            <v>125.858</v>
          </cell>
          <cell r="J159" t="str">
            <v/>
          </cell>
          <cell r="K159" t="str">
            <v/>
          </cell>
        </row>
        <row r="160">
          <cell r="D160" t="str">
            <v/>
          </cell>
          <cell r="E160" t="str">
            <v/>
          </cell>
          <cell r="F160">
            <v>0.751</v>
          </cell>
          <cell r="G160" t="str">
            <v/>
          </cell>
          <cell r="H160">
            <v>169.62899999999999</v>
          </cell>
          <cell r="I160">
            <v>124.523</v>
          </cell>
          <cell r="J160" t="str">
            <v/>
          </cell>
          <cell r="K160" t="str">
            <v/>
          </cell>
        </row>
        <row r="161">
          <cell r="A161" t="str">
            <v>2017/18</v>
          </cell>
          <cell r="B161" t="str">
            <v>Q4</v>
          </cell>
          <cell r="D161">
            <v>1219.329</v>
          </cell>
          <cell r="F161">
            <v>4.8140000000000001</v>
          </cell>
          <cell r="G161">
            <v>1224.143</v>
          </cell>
          <cell r="H161">
            <v>518.05499999999995</v>
          </cell>
          <cell r="I161">
            <v>365.13400000000001</v>
          </cell>
          <cell r="J161">
            <v>-97.152000000000001</v>
          </cell>
          <cell r="K161">
            <v>786.03800000000001</v>
          </cell>
        </row>
        <row r="162">
          <cell r="A162" t="str">
            <v>2017/18</v>
          </cell>
          <cell r="B162" t="str">
            <v>MY</v>
          </cell>
          <cell r="D162" t="str">
            <v/>
          </cell>
          <cell r="E162">
            <v>4411.6329999999998</v>
          </cell>
          <cell r="F162">
            <v>21.81</v>
          </cell>
          <cell r="G162">
            <v>4735.0379999999996</v>
          </cell>
          <cell r="H162">
            <v>2054.9319999999998</v>
          </cell>
          <cell r="I162">
            <v>2133.73</v>
          </cell>
          <cell r="J162">
            <v>108.271</v>
          </cell>
          <cell r="K162">
            <v>4296.933</v>
          </cell>
        </row>
        <row r="163"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</row>
        <row r="164"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</row>
        <row r="165">
          <cell r="D165" t="str">
            <v/>
          </cell>
          <cell r="E165" t="str">
            <v/>
          </cell>
          <cell r="F165">
            <v>1.03</v>
          </cell>
          <cell r="G165" t="str">
            <v/>
          </cell>
          <cell r="H165">
            <v>169.649</v>
          </cell>
          <cell r="I165">
            <v>122.556</v>
          </cell>
          <cell r="J165" t="str">
            <v/>
          </cell>
          <cell r="K165" t="str">
            <v/>
          </cell>
        </row>
        <row r="166">
          <cell r="D166" t="str">
            <v/>
          </cell>
          <cell r="E166" t="str">
            <v/>
          </cell>
          <cell r="F166">
            <v>0.77600000000000002</v>
          </cell>
          <cell r="G166" t="str">
            <v/>
          </cell>
          <cell r="H166">
            <v>183.55799999999999</v>
          </cell>
          <cell r="I166">
            <v>200.53399999999999</v>
          </cell>
          <cell r="J166" t="str">
            <v/>
          </cell>
          <cell r="K166" t="str">
            <v/>
          </cell>
        </row>
        <row r="167">
          <cell r="D167" t="str">
            <v/>
          </cell>
          <cell r="E167" t="str">
            <v/>
          </cell>
          <cell r="F167">
            <v>1.8360000000000001</v>
          </cell>
          <cell r="G167" t="str">
            <v/>
          </cell>
          <cell r="H167">
            <v>178.102</v>
          </cell>
          <cell r="I167">
            <v>179.285</v>
          </cell>
          <cell r="J167" t="str">
            <v/>
          </cell>
          <cell r="K167" t="str">
            <v/>
          </cell>
        </row>
        <row r="168">
          <cell r="A168" t="str">
            <v>2018/19</v>
          </cell>
          <cell r="B168" t="str">
            <v>Q1</v>
          </cell>
          <cell r="D168">
            <v>438.10500000000002</v>
          </cell>
          <cell r="E168">
            <v>4428.1499999999996</v>
          </cell>
          <cell r="F168">
            <v>3.6419999999999999</v>
          </cell>
          <cell r="G168">
            <v>4869.8969999999999</v>
          </cell>
          <cell r="H168">
            <v>531.30999999999995</v>
          </cell>
          <cell r="I168">
            <v>502.375</v>
          </cell>
          <cell r="J168">
            <v>90.388999999999996</v>
          </cell>
          <cell r="K168">
            <v>1124.0730000000001</v>
          </cell>
        </row>
        <row r="169">
          <cell r="D169" t="str">
            <v/>
          </cell>
          <cell r="E169" t="str">
            <v/>
          </cell>
          <cell r="F169">
            <v>1.137</v>
          </cell>
          <cell r="G169" t="str">
            <v/>
          </cell>
          <cell r="H169">
            <v>183.77600000000001</v>
          </cell>
          <cell r="I169">
            <v>147.50700000000001</v>
          </cell>
          <cell r="J169" t="str">
            <v/>
          </cell>
          <cell r="K169" t="str">
            <v/>
          </cell>
        </row>
        <row r="170">
          <cell r="D170" t="str">
            <v/>
          </cell>
          <cell r="E170" t="str">
            <v/>
          </cell>
          <cell r="F170">
            <v>1.0169999999999999</v>
          </cell>
          <cell r="G170" t="str">
            <v/>
          </cell>
          <cell r="H170">
            <v>183.071</v>
          </cell>
          <cell r="I170">
            <v>177.40799999999999</v>
          </cell>
          <cell r="J170" t="str">
            <v/>
          </cell>
          <cell r="K170" t="str">
            <v/>
          </cell>
        </row>
        <row r="171">
          <cell r="D171" t="str">
            <v/>
          </cell>
          <cell r="E171" t="str">
            <v/>
          </cell>
          <cell r="F171">
            <v>1.462</v>
          </cell>
          <cell r="G171" t="str">
            <v/>
          </cell>
          <cell r="H171">
            <v>162.78100000000001</v>
          </cell>
          <cell r="I171">
            <v>168.18899999999999</v>
          </cell>
          <cell r="J171" t="str">
            <v/>
          </cell>
          <cell r="K171" t="str">
            <v/>
          </cell>
        </row>
        <row r="172">
          <cell r="A172" t="str">
            <v>2018/19</v>
          </cell>
          <cell r="B172" t="str">
            <v>Q2</v>
          </cell>
          <cell r="D172">
            <v>3745.8240000000001</v>
          </cell>
          <cell r="F172">
            <v>3.6150000000000002</v>
          </cell>
          <cell r="G172">
            <v>3749.4389999999999</v>
          </cell>
          <cell r="H172">
            <v>529.62800000000004</v>
          </cell>
          <cell r="I172">
            <v>493.10300000000001</v>
          </cell>
          <cell r="J172">
            <v>-0.36099999999999999</v>
          </cell>
          <cell r="K172">
            <v>1022.37</v>
          </cell>
        </row>
        <row r="173">
          <cell r="D173" t="str">
            <v/>
          </cell>
          <cell r="E173" t="str">
            <v/>
          </cell>
          <cell r="F173">
            <v>1.492</v>
          </cell>
          <cell r="G173" t="str">
            <v/>
          </cell>
          <cell r="H173">
            <v>179.434</v>
          </cell>
          <cell r="I173">
            <v>136.19200000000001</v>
          </cell>
          <cell r="J173" t="str">
            <v/>
          </cell>
          <cell r="K173" t="str">
            <v/>
          </cell>
        </row>
        <row r="174">
          <cell r="D174" t="str">
            <v/>
          </cell>
          <cell r="E174" t="str">
            <v/>
          </cell>
          <cell r="F174">
            <v>1.5649999999999999</v>
          </cell>
          <cell r="G174" t="str">
            <v/>
          </cell>
          <cell r="H174">
            <v>171.547</v>
          </cell>
          <cell r="I174">
            <v>88.156999999999996</v>
          </cell>
          <cell r="J174" t="str">
            <v/>
          </cell>
          <cell r="K174" t="str">
            <v/>
          </cell>
        </row>
        <row r="175">
          <cell r="D175" t="str">
            <v/>
          </cell>
          <cell r="E175" t="str">
            <v/>
          </cell>
          <cell r="F175">
            <v>0.64100000000000001</v>
          </cell>
          <cell r="G175" t="str">
            <v/>
          </cell>
          <cell r="H175">
            <v>165.44200000000001</v>
          </cell>
          <cell r="I175">
            <v>94.08</v>
          </cell>
          <cell r="J175" t="str">
            <v/>
          </cell>
          <cell r="K175" t="str">
            <v/>
          </cell>
        </row>
        <row r="176">
          <cell r="A176" t="str">
            <v>2018/19</v>
          </cell>
          <cell r="B176" t="str">
            <v>Q3</v>
          </cell>
          <cell r="D176">
            <v>2727.069</v>
          </cell>
          <cell r="F176">
            <v>3.698</v>
          </cell>
          <cell r="G176">
            <v>2730.7669999999998</v>
          </cell>
          <cell r="H176">
            <v>516.423</v>
          </cell>
          <cell r="I176">
            <v>318.42899999999997</v>
          </cell>
          <cell r="J176">
            <v>112.83499999999999</v>
          </cell>
          <cell r="K176">
            <v>947.68700000000001</v>
          </cell>
        </row>
        <row r="177">
          <cell r="D177" t="str">
            <v/>
          </cell>
          <cell r="E177" t="str">
            <v/>
          </cell>
          <cell r="F177">
            <v>0.75</v>
          </cell>
          <cell r="G177" t="str">
            <v/>
          </cell>
          <cell r="H177">
            <v>157.63800000000001</v>
          </cell>
          <cell r="I177">
            <v>117.343</v>
          </cell>
          <cell r="J177" t="str">
            <v/>
          </cell>
          <cell r="K177" t="str">
            <v/>
          </cell>
        </row>
        <row r="178">
          <cell r="D178" t="str">
            <v/>
          </cell>
          <cell r="E178" t="str">
            <v/>
          </cell>
          <cell r="F178">
            <v>1.3089999999999999</v>
          </cell>
          <cell r="G178" t="str">
            <v/>
          </cell>
          <cell r="H178">
            <v>179.46299999999999</v>
          </cell>
          <cell r="I178">
            <v>135.233</v>
          </cell>
          <cell r="J178" t="str">
            <v/>
          </cell>
          <cell r="K178" t="str">
            <v/>
          </cell>
        </row>
        <row r="179">
          <cell r="D179" t="str">
            <v/>
          </cell>
          <cell r="E179" t="str">
            <v/>
          </cell>
          <cell r="F179">
            <v>1.0549999999999999</v>
          </cell>
          <cell r="G179" t="str">
            <v/>
          </cell>
          <cell r="H179">
            <v>177.529</v>
          </cell>
          <cell r="I179">
            <v>181.18899999999999</v>
          </cell>
          <cell r="J179" t="str">
            <v/>
          </cell>
          <cell r="K179" t="str">
            <v/>
          </cell>
        </row>
        <row r="180">
          <cell r="A180" t="str">
            <v>2018/19</v>
          </cell>
          <cell r="B180" t="str">
            <v>Q4</v>
          </cell>
          <cell r="D180">
            <v>1783.08</v>
          </cell>
          <cell r="F180">
            <v>3.1139999999999999</v>
          </cell>
          <cell r="G180">
            <v>1786.194</v>
          </cell>
          <cell r="H180">
            <v>514.63</v>
          </cell>
          <cell r="I180">
            <v>433.76499999999999</v>
          </cell>
          <cell r="J180">
            <v>-71.253</v>
          </cell>
          <cell r="K180">
            <v>877.14200000000005</v>
          </cell>
        </row>
        <row r="181">
          <cell r="A181" t="str">
            <v>2018/19</v>
          </cell>
          <cell r="B181" t="str">
            <v>MY</v>
          </cell>
          <cell r="D181" t="str">
            <v/>
          </cell>
          <cell r="E181">
            <v>4428.1499999999996</v>
          </cell>
          <cell r="F181">
            <v>14.069000000000001</v>
          </cell>
          <cell r="G181">
            <v>4880.3239999999996</v>
          </cell>
          <cell r="H181">
            <v>2091.9899999999998</v>
          </cell>
          <cell r="I181">
            <v>1747.672</v>
          </cell>
          <cell r="J181">
            <v>131.60900000000001</v>
          </cell>
          <cell r="K181">
            <v>3971.2719999999999</v>
          </cell>
        </row>
        <row r="182"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</row>
        <row r="183"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</row>
        <row r="184">
          <cell r="D184" t="str">
            <v/>
          </cell>
          <cell r="E184" t="str">
            <v/>
          </cell>
          <cell r="F184">
            <v>1.173</v>
          </cell>
          <cell r="G184" t="str">
            <v/>
          </cell>
          <cell r="H184">
            <v>162.334</v>
          </cell>
          <cell r="I184">
            <v>142.93299999999999</v>
          </cell>
          <cell r="J184" t="str">
            <v/>
          </cell>
          <cell r="K184" t="str">
            <v/>
          </cell>
        </row>
        <row r="185">
          <cell r="D185" t="str">
            <v/>
          </cell>
          <cell r="E185" t="str">
            <v/>
          </cell>
          <cell r="F185">
            <v>1.974</v>
          </cell>
          <cell r="G185" t="str">
            <v/>
          </cell>
          <cell r="H185">
            <v>187.18700000000001</v>
          </cell>
          <cell r="I185">
            <v>218.42699999999999</v>
          </cell>
          <cell r="J185" t="str">
            <v/>
          </cell>
          <cell r="K185" t="str">
            <v/>
          </cell>
        </row>
        <row r="186">
          <cell r="D186" t="str">
            <v/>
          </cell>
          <cell r="E186" t="str">
            <v/>
          </cell>
          <cell r="F186">
            <v>0.442</v>
          </cell>
          <cell r="G186" t="str">
            <v/>
          </cell>
          <cell r="H186">
            <v>174.648</v>
          </cell>
          <cell r="I186">
            <v>257.39999999999998</v>
          </cell>
          <cell r="J186" t="str">
            <v/>
          </cell>
          <cell r="K186" t="str">
            <v/>
          </cell>
        </row>
        <row r="187">
          <cell r="A187" t="str">
            <v>2019/20</v>
          </cell>
          <cell r="B187" t="str">
            <v>Q1</v>
          </cell>
          <cell r="D187">
            <v>909.05200000000002</v>
          </cell>
          <cell r="E187">
            <v>3558.2809999999999</v>
          </cell>
          <cell r="F187">
            <v>3.5880000000000001</v>
          </cell>
          <cell r="G187">
            <v>4470.9210000000003</v>
          </cell>
          <cell r="H187">
            <v>524.16999999999996</v>
          </cell>
          <cell r="I187">
            <v>618.76</v>
          </cell>
          <cell r="J187">
            <v>76.325000000000003</v>
          </cell>
          <cell r="K187">
            <v>1219.2539999999999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&amp;D Snapshot"/>
      <sheetName val="US S&amp;D"/>
      <sheetName val="Corn Data"/>
      <sheetName val="Wheat Data"/>
      <sheetName val="PSD Tables"/>
      <sheetName val="Corn PSD"/>
      <sheetName val="Soybean PSD"/>
      <sheetName val="Wheat PSD"/>
      <sheetName val="Corn Tables"/>
      <sheetName val="Soybean Tables"/>
      <sheetName val="Wheat Tables"/>
      <sheetName val="Soybean Data #1"/>
      <sheetName val="Soybean Data (MB)"/>
    </sheetNames>
    <sheetDataSet>
      <sheetData sheetId="0"/>
      <sheetData sheetId="1"/>
      <sheetData sheetId="2">
        <row r="1">
          <cell r="D1" t="str">
            <v>Beginning stocks</v>
          </cell>
        </row>
        <row r="2">
          <cell r="D2">
            <v>558</v>
          </cell>
        </row>
        <row r="3">
          <cell r="D3">
            <v>4975</v>
          </cell>
        </row>
        <row r="4">
          <cell r="D4">
            <v>3374</v>
          </cell>
        </row>
        <row r="5">
          <cell r="D5">
            <v>1869</v>
          </cell>
        </row>
        <row r="6">
          <cell r="D6">
            <v>558</v>
          </cell>
        </row>
        <row r="8">
          <cell r="D8">
            <v>633</v>
          </cell>
        </row>
        <row r="9">
          <cell r="D9">
            <v>5387</v>
          </cell>
        </row>
        <row r="10">
          <cell r="D10">
            <v>3848</v>
          </cell>
        </row>
        <row r="11">
          <cell r="D11">
            <v>2370</v>
          </cell>
        </row>
        <row r="12">
          <cell r="D12">
            <v>633</v>
          </cell>
        </row>
        <row r="14">
          <cell r="D14">
            <v>1136</v>
          </cell>
        </row>
        <row r="15">
          <cell r="D15">
            <v>6087</v>
          </cell>
        </row>
        <row r="16">
          <cell r="D16">
            <v>4482</v>
          </cell>
        </row>
        <row r="17">
          <cell r="D17">
            <v>2861</v>
          </cell>
        </row>
        <row r="18">
          <cell r="D18">
            <v>1136</v>
          </cell>
        </row>
        <row r="20">
          <cell r="D20">
            <v>1436</v>
          </cell>
        </row>
        <row r="21">
          <cell r="D21">
            <v>6928</v>
          </cell>
        </row>
        <row r="22">
          <cell r="D22">
            <v>5151</v>
          </cell>
        </row>
        <row r="23">
          <cell r="D23">
            <v>3287</v>
          </cell>
        </row>
        <row r="24">
          <cell r="D24">
            <v>1436</v>
          </cell>
        </row>
        <row r="26">
          <cell r="D26">
            <v>1710</v>
          </cell>
        </row>
        <row r="27">
          <cell r="D27">
            <v>7594</v>
          </cell>
        </row>
        <row r="28">
          <cell r="D28">
            <v>5557</v>
          </cell>
        </row>
        <row r="29">
          <cell r="D29">
            <v>3644</v>
          </cell>
        </row>
        <row r="30">
          <cell r="D30">
            <v>1710</v>
          </cell>
        </row>
        <row r="32">
          <cell r="D32">
            <v>2034</v>
          </cell>
        </row>
        <row r="33">
          <cell r="D33">
            <v>6596</v>
          </cell>
        </row>
        <row r="34">
          <cell r="D34">
            <v>4662</v>
          </cell>
        </row>
        <row r="35">
          <cell r="D35">
            <v>2774</v>
          </cell>
        </row>
        <row r="36">
          <cell r="D36">
            <v>2034</v>
          </cell>
        </row>
        <row r="38">
          <cell r="D38">
            <v>1392</v>
          </cell>
        </row>
        <row r="39">
          <cell r="D39">
            <v>7601</v>
          </cell>
        </row>
        <row r="40">
          <cell r="D40">
            <v>5766</v>
          </cell>
        </row>
        <row r="41">
          <cell r="D41">
            <v>3880</v>
          </cell>
        </row>
        <row r="42">
          <cell r="D42">
            <v>1392</v>
          </cell>
        </row>
        <row r="44">
          <cell r="D44">
            <v>2537</v>
          </cell>
        </row>
        <row r="45">
          <cell r="D45">
            <v>8906</v>
          </cell>
        </row>
        <row r="46">
          <cell r="D46">
            <v>6899</v>
          </cell>
        </row>
        <row r="47">
          <cell r="D47">
            <v>4924</v>
          </cell>
        </row>
        <row r="48">
          <cell r="D48">
            <v>2537</v>
          </cell>
        </row>
        <row r="50">
          <cell r="D50">
            <v>3523</v>
          </cell>
        </row>
        <row r="51">
          <cell r="D51">
            <v>5652</v>
          </cell>
        </row>
        <row r="52">
          <cell r="D52">
            <v>3865</v>
          </cell>
        </row>
        <row r="53">
          <cell r="D53">
            <v>2145</v>
          </cell>
        </row>
        <row r="54">
          <cell r="D54">
            <v>3523</v>
          </cell>
        </row>
        <row r="56">
          <cell r="D56">
            <v>1006</v>
          </cell>
        </row>
        <row r="57">
          <cell r="D57">
            <v>6631</v>
          </cell>
        </row>
        <row r="58">
          <cell r="D58">
            <v>4623</v>
          </cell>
        </row>
        <row r="59">
          <cell r="D59">
            <v>2836</v>
          </cell>
        </row>
        <row r="60">
          <cell r="D60">
            <v>1006</v>
          </cell>
        </row>
        <row r="62">
          <cell r="D62">
            <v>1648</v>
          </cell>
        </row>
        <row r="63">
          <cell r="D63">
            <v>8615</v>
          </cell>
        </row>
        <row r="64">
          <cell r="D64">
            <v>6587</v>
          </cell>
        </row>
        <row r="65">
          <cell r="D65">
            <v>4990</v>
          </cell>
        </row>
        <row r="66">
          <cell r="D66">
            <v>1648</v>
          </cell>
        </row>
        <row r="68">
          <cell r="D68">
            <v>4040</v>
          </cell>
        </row>
        <row r="69">
          <cell r="D69">
            <v>10305</v>
          </cell>
        </row>
        <row r="70">
          <cell r="D70">
            <v>8248</v>
          </cell>
        </row>
        <row r="71">
          <cell r="D71">
            <v>6332</v>
          </cell>
        </row>
        <row r="72">
          <cell r="D72">
            <v>4040</v>
          </cell>
        </row>
        <row r="74">
          <cell r="D74">
            <v>4882</v>
          </cell>
        </row>
        <row r="75">
          <cell r="D75">
            <v>9771</v>
          </cell>
        </row>
        <row r="76">
          <cell r="D76">
            <v>7636</v>
          </cell>
        </row>
        <row r="77">
          <cell r="D77">
            <v>5839</v>
          </cell>
        </row>
        <row r="78">
          <cell r="D78">
            <v>4882</v>
          </cell>
        </row>
        <row r="80">
          <cell r="D80">
            <v>4259</v>
          </cell>
        </row>
        <row r="81">
          <cell r="D81">
            <v>7072</v>
          </cell>
        </row>
        <row r="82">
          <cell r="D82">
            <v>5204</v>
          </cell>
        </row>
        <row r="83">
          <cell r="D83">
            <v>3419</v>
          </cell>
        </row>
        <row r="84">
          <cell r="D84">
            <v>4259</v>
          </cell>
        </row>
        <row r="86">
          <cell r="D86">
            <v>1930</v>
          </cell>
        </row>
        <row r="87">
          <cell r="D87">
            <v>7082</v>
          </cell>
        </row>
        <row r="88">
          <cell r="D88">
            <v>4812</v>
          </cell>
        </row>
        <row r="89">
          <cell r="D89">
            <v>2843</v>
          </cell>
        </row>
        <row r="90">
          <cell r="D90">
            <v>1930</v>
          </cell>
        </row>
        <row r="92">
          <cell r="D92">
            <v>1344</v>
          </cell>
        </row>
        <row r="93">
          <cell r="D93">
            <v>6940</v>
          </cell>
        </row>
        <row r="94">
          <cell r="D94">
            <v>4789</v>
          </cell>
        </row>
        <row r="95">
          <cell r="D95">
            <v>2992</v>
          </cell>
        </row>
        <row r="96">
          <cell r="D96">
            <v>1344</v>
          </cell>
        </row>
        <row r="98">
          <cell r="D98">
            <v>1521</v>
          </cell>
        </row>
        <row r="99">
          <cell r="D99">
            <v>6547</v>
          </cell>
        </row>
        <row r="100">
          <cell r="D100">
            <v>4561</v>
          </cell>
        </row>
        <row r="101">
          <cell r="D101">
            <v>2739</v>
          </cell>
        </row>
        <row r="102">
          <cell r="D102">
            <v>1521</v>
          </cell>
        </row>
        <row r="104">
          <cell r="D104">
            <v>1100</v>
          </cell>
        </row>
        <row r="105">
          <cell r="D105">
            <v>7906</v>
          </cell>
        </row>
        <row r="106">
          <cell r="D106">
            <v>5678</v>
          </cell>
        </row>
        <row r="107">
          <cell r="D107">
            <v>3709</v>
          </cell>
        </row>
        <row r="108">
          <cell r="D108">
            <v>1100</v>
          </cell>
        </row>
        <row r="110">
          <cell r="D110">
            <v>2113</v>
          </cell>
        </row>
        <row r="111">
          <cell r="D111">
            <v>5937</v>
          </cell>
        </row>
        <row r="112">
          <cell r="D112">
            <v>3996</v>
          </cell>
        </row>
        <row r="113">
          <cell r="D113">
            <v>2360</v>
          </cell>
        </row>
        <row r="114">
          <cell r="D114">
            <v>2113</v>
          </cell>
        </row>
        <row r="116">
          <cell r="D116">
            <v>850</v>
          </cell>
        </row>
        <row r="117">
          <cell r="D117">
            <v>8080</v>
          </cell>
        </row>
        <row r="118">
          <cell r="D118">
            <v>5592</v>
          </cell>
        </row>
        <row r="119">
          <cell r="D119">
            <v>3415</v>
          </cell>
        </row>
        <row r="120">
          <cell r="D120">
            <v>850</v>
          </cell>
        </row>
        <row r="122">
          <cell r="D122">
            <v>1558</v>
          </cell>
        </row>
        <row r="123">
          <cell r="D123">
            <v>6106</v>
          </cell>
        </row>
        <row r="124">
          <cell r="D124">
            <v>3800</v>
          </cell>
        </row>
        <row r="125">
          <cell r="D125">
            <v>1718</v>
          </cell>
        </row>
        <row r="126">
          <cell r="D126">
            <v>1558</v>
          </cell>
        </row>
        <row r="128">
          <cell r="D128">
            <v>426</v>
          </cell>
        </row>
        <row r="129">
          <cell r="D129">
            <v>6903</v>
          </cell>
        </row>
        <row r="130">
          <cell r="D130">
            <v>4494</v>
          </cell>
        </row>
        <row r="131">
          <cell r="D131">
            <v>2497</v>
          </cell>
        </row>
        <row r="132">
          <cell r="D132">
            <v>426</v>
          </cell>
        </row>
        <row r="134">
          <cell r="D134">
            <v>883</v>
          </cell>
        </row>
        <row r="135">
          <cell r="D135">
            <v>7247</v>
          </cell>
        </row>
        <row r="136">
          <cell r="D136">
            <v>4940</v>
          </cell>
        </row>
        <row r="137">
          <cell r="D137">
            <v>3040</v>
          </cell>
        </row>
        <row r="138">
          <cell r="D138">
            <v>883</v>
          </cell>
        </row>
        <row r="140">
          <cell r="D140">
            <v>1308</v>
          </cell>
        </row>
        <row r="141">
          <cell r="D141">
            <v>8052</v>
          </cell>
        </row>
        <row r="142">
          <cell r="D142">
            <v>5698</v>
          </cell>
        </row>
        <row r="143">
          <cell r="D143">
            <v>3616</v>
          </cell>
        </row>
        <row r="144">
          <cell r="D144">
            <v>1308</v>
          </cell>
        </row>
        <row r="146">
          <cell r="D146">
            <v>1787</v>
          </cell>
        </row>
        <row r="147">
          <cell r="D147">
            <v>8039</v>
          </cell>
        </row>
        <row r="148">
          <cell r="D148">
            <v>5602</v>
          </cell>
        </row>
        <row r="149">
          <cell r="D149">
            <v>3586</v>
          </cell>
        </row>
        <row r="150">
          <cell r="D150">
            <v>1787</v>
          </cell>
        </row>
        <row r="152">
          <cell r="D152">
            <v>1718</v>
          </cell>
        </row>
        <row r="153">
          <cell r="D153">
            <v>8530</v>
          </cell>
        </row>
        <row r="154">
          <cell r="D154">
            <v>6043</v>
          </cell>
        </row>
        <row r="155">
          <cell r="D155">
            <v>3924</v>
          </cell>
        </row>
        <row r="156">
          <cell r="D156">
            <v>1718</v>
          </cell>
        </row>
        <row r="158">
          <cell r="D158">
            <v>1899</v>
          </cell>
        </row>
        <row r="159">
          <cell r="D159">
            <v>8265</v>
          </cell>
        </row>
        <row r="160">
          <cell r="D160">
            <v>5795</v>
          </cell>
        </row>
        <row r="161">
          <cell r="D161">
            <v>3597</v>
          </cell>
        </row>
        <row r="162">
          <cell r="D162">
            <v>1899</v>
          </cell>
        </row>
        <row r="164">
          <cell r="D164">
            <v>1596</v>
          </cell>
        </row>
        <row r="165">
          <cell r="D165">
            <v>7638</v>
          </cell>
        </row>
        <row r="166">
          <cell r="D166">
            <v>5132</v>
          </cell>
        </row>
        <row r="167">
          <cell r="D167">
            <v>2985</v>
          </cell>
        </row>
        <row r="168">
          <cell r="D168">
            <v>1596</v>
          </cell>
        </row>
        <row r="170">
          <cell r="D170">
            <v>1087</v>
          </cell>
        </row>
        <row r="171">
          <cell r="D171">
            <v>7954</v>
          </cell>
        </row>
        <row r="172">
          <cell r="D172">
            <v>5271</v>
          </cell>
        </row>
        <row r="173">
          <cell r="D173">
            <v>2970</v>
          </cell>
        </row>
        <row r="174">
          <cell r="D174">
            <v>1087</v>
          </cell>
        </row>
        <row r="176">
          <cell r="D176">
            <v>958</v>
          </cell>
        </row>
        <row r="177">
          <cell r="D177">
            <v>9452</v>
          </cell>
        </row>
        <row r="178">
          <cell r="D178">
            <v>6756</v>
          </cell>
        </row>
        <row r="179">
          <cell r="D179">
            <v>4321</v>
          </cell>
        </row>
        <row r="180">
          <cell r="D180">
            <v>958</v>
          </cell>
        </row>
        <row r="182">
          <cell r="D182">
            <v>2114</v>
          </cell>
        </row>
        <row r="183">
          <cell r="D183">
            <v>9815</v>
          </cell>
        </row>
        <row r="184">
          <cell r="D184">
            <v>6987</v>
          </cell>
        </row>
        <row r="185">
          <cell r="D185">
            <v>4362</v>
          </cell>
        </row>
        <row r="186">
          <cell r="D186">
            <v>2114</v>
          </cell>
        </row>
        <row r="188">
          <cell r="D188">
            <v>1967</v>
          </cell>
        </row>
        <row r="189">
          <cell r="D189">
            <v>8933</v>
          </cell>
        </row>
        <row r="190">
          <cell r="D190">
            <v>6068</v>
          </cell>
        </row>
        <row r="191">
          <cell r="D191">
            <v>3533</v>
          </cell>
        </row>
        <row r="192">
          <cell r="D192">
            <v>1967</v>
          </cell>
        </row>
        <row r="194">
          <cell r="D194">
            <v>1304</v>
          </cell>
        </row>
        <row r="195">
          <cell r="D195">
            <v>10278</v>
          </cell>
        </row>
        <row r="196">
          <cell r="D196">
            <v>6859</v>
          </cell>
        </row>
        <row r="197">
          <cell r="D197">
            <v>4028</v>
          </cell>
        </row>
        <row r="198">
          <cell r="D198">
            <v>1304</v>
          </cell>
        </row>
        <row r="200">
          <cell r="D200">
            <v>1624</v>
          </cell>
        </row>
        <row r="201">
          <cell r="D201">
            <v>10072</v>
          </cell>
        </row>
        <row r="202">
          <cell r="D202">
            <v>6954</v>
          </cell>
        </row>
        <row r="203">
          <cell r="D203">
            <v>4261</v>
          </cell>
        </row>
        <row r="204">
          <cell r="D204">
            <v>1624</v>
          </cell>
        </row>
        <row r="206">
          <cell r="D206">
            <v>1673</v>
          </cell>
        </row>
        <row r="207">
          <cell r="D207">
            <v>10902</v>
          </cell>
        </row>
        <row r="208">
          <cell r="D208">
            <v>7694</v>
          </cell>
        </row>
        <row r="209">
          <cell r="D209">
            <v>4310</v>
          </cell>
        </row>
        <row r="210">
          <cell r="D210">
            <v>1673</v>
          </cell>
        </row>
        <row r="212">
          <cell r="D212">
            <v>1708</v>
          </cell>
        </row>
        <row r="213">
          <cell r="D213">
            <v>10057</v>
          </cell>
        </row>
        <row r="214">
          <cell r="D214">
            <v>6523</v>
          </cell>
        </row>
        <row r="215">
          <cell r="D215">
            <v>3670</v>
          </cell>
        </row>
        <row r="216">
          <cell r="D216">
            <v>1708</v>
          </cell>
        </row>
        <row r="218">
          <cell r="D218">
            <v>1128</v>
          </cell>
        </row>
        <row r="219">
          <cell r="D219">
            <v>9647</v>
          </cell>
        </row>
        <row r="220">
          <cell r="D220">
            <v>6023</v>
          </cell>
        </row>
        <row r="221">
          <cell r="D221">
            <v>3148</v>
          </cell>
        </row>
        <row r="222">
          <cell r="D222">
            <v>1128</v>
          </cell>
        </row>
        <row r="224">
          <cell r="D224">
            <v>989</v>
          </cell>
        </row>
        <row r="225">
          <cell r="D225">
            <v>8033</v>
          </cell>
        </row>
        <row r="226">
          <cell r="D226">
            <v>5400</v>
          </cell>
        </row>
        <row r="227">
          <cell r="D227">
            <v>2766</v>
          </cell>
        </row>
        <row r="228">
          <cell r="D228">
            <v>989</v>
          </cell>
        </row>
        <row r="230">
          <cell r="D230">
            <v>821</v>
          </cell>
        </row>
        <row r="231">
          <cell r="D231">
            <v>10453</v>
          </cell>
        </row>
        <row r="232">
          <cell r="D232">
            <v>7009</v>
          </cell>
        </row>
        <row r="233">
          <cell r="D233">
            <v>3852</v>
          </cell>
        </row>
        <row r="234">
          <cell r="D234">
            <v>821</v>
          </cell>
        </row>
        <row r="236">
          <cell r="D236">
            <v>1232</v>
          </cell>
        </row>
        <row r="237">
          <cell r="D237">
            <v>11211</v>
          </cell>
        </row>
        <row r="238">
          <cell r="D238">
            <v>7750</v>
          </cell>
        </row>
        <row r="239">
          <cell r="D239">
            <v>4453</v>
          </cell>
        </row>
        <row r="240">
          <cell r="D240">
            <v>1232</v>
          </cell>
        </row>
        <row r="242">
          <cell r="D242">
            <v>1731</v>
          </cell>
        </row>
        <row r="243">
          <cell r="D243">
            <v>11235</v>
          </cell>
        </row>
        <row r="244">
          <cell r="D244">
            <v>7822</v>
          </cell>
        </row>
        <row r="245">
          <cell r="D245">
            <v>4711</v>
          </cell>
        </row>
        <row r="246">
          <cell r="D246">
            <v>1731</v>
          </cell>
        </row>
        <row r="248">
          <cell r="D248">
            <v>1737</v>
          </cell>
        </row>
        <row r="249">
          <cell r="D249">
            <v>12383</v>
          </cell>
        </row>
        <row r="250">
          <cell r="D250">
            <v>8622</v>
          </cell>
        </row>
        <row r="251">
          <cell r="D251">
            <v>5229</v>
          </cell>
        </row>
        <row r="252">
          <cell r="D252">
            <v>1737</v>
          </cell>
        </row>
        <row r="254">
          <cell r="D254">
            <v>2293</v>
          </cell>
        </row>
        <row r="255">
          <cell r="D255">
            <v>12567</v>
          </cell>
        </row>
        <row r="256">
          <cell r="D256">
            <v>8892</v>
          </cell>
        </row>
        <row r="257">
          <cell r="D257">
            <v>5305</v>
          </cell>
        </row>
        <row r="258">
          <cell r="D258">
            <v>2293</v>
          </cell>
        </row>
        <row r="260">
          <cell r="D260">
            <v>2140</v>
          </cell>
        </row>
        <row r="261">
          <cell r="D261">
            <v>11937</v>
          </cell>
        </row>
        <row r="262">
          <cell r="D262">
            <v>8613</v>
          </cell>
        </row>
        <row r="263">
          <cell r="D263">
            <v>5202</v>
          </cell>
        </row>
        <row r="264">
          <cell r="D264">
            <v>2140</v>
          </cell>
        </row>
        <row r="266">
          <cell r="D266">
            <v>2221</v>
          </cell>
        </row>
        <row r="267">
          <cell r="D267">
            <v>11327</v>
          </cell>
        </row>
        <row r="268">
          <cell r="D268">
            <v>7951</v>
          </cell>
        </row>
        <row r="269">
          <cell r="D269">
            <v>2221</v>
          </cell>
        </row>
        <row r="271">
          <cell r="D271">
            <v>2253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BE5E-3A93-4D65-918B-038351391C6C}">
  <dimension ref="B1:AR63"/>
  <sheetViews>
    <sheetView tabSelected="1" topLeftCell="A7" workbookViewId="0">
      <selection activeCell="B2" sqref="B2:P57"/>
    </sheetView>
  </sheetViews>
  <sheetFormatPr defaultColWidth="13.42578125" defaultRowHeight="12.75" x14ac:dyDescent="0.2"/>
  <cols>
    <col min="1" max="1" width="13.42578125" style="4"/>
    <col min="2" max="2" width="11.5703125" style="4" customWidth="1"/>
    <col min="3" max="3" width="7.140625" style="4" customWidth="1"/>
    <col min="4" max="4" width="5.5703125" style="4" customWidth="1"/>
    <col min="5" max="5" width="7" style="4" customWidth="1"/>
    <col min="6" max="6" width="5" style="4" customWidth="1"/>
    <col min="7" max="7" width="7.28515625" style="6" customWidth="1"/>
    <col min="8" max="8" width="5" style="4" customWidth="1"/>
    <col min="9" max="9" width="7.7109375" style="4" customWidth="1"/>
    <col min="10" max="10" width="5.28515625" style="4" customWidth="1"/>
    <col min="11" max="11" width="9.42578125" style="4" customWidth="1"/>
    <col min="12" max="12" width="5.5703125" style="4" customWidth="1"/>
    <col min="13" max="14" width="7.5703125" style="4" customWidth="1"/>
    <col min="15" max="15" width="7" style="4" customWidth="1"/>
    <col min="16" max="16" width="9" style="4" customWidth="1"/>
    <col min="17" max="17" width="5" style="4" customWidth="1"/>
    <col min="18" max="18" width="8.42578125" style="4" customWidth="1"/>
    <col min="19" max="19" width="5" style="4" customWidth="1"/>
    <col min="20" max="20" width="4.140625" style="4" customWidth="1"/>
    <col min="21" max="21" width="8.28515625" style="4" customWidth="1"/>
    <col min="22" max="22" width="4.42578125" style="4" customWidth="1"/>
    <col min="23" max="23" width="9.42578125" style="4" customWidth="1"/>
    <col min="24" max="24" width="4.7109375" style="4" customWidth="1"/>
    <col min="25" max="25" width="7.140625" style="4" bestFit="1" customWidth="1"/>
    <col min="26" max="26" width="4.85546875" style="4" customWidth="1"/>
    <col min="27" max="27" width="8.28515625" style="4" customWidth="1"/>
    <col min="28" max="28" width="4.85546875" style="4" customWidth="1"/>
    <col min="29" max="29" width="7.28515625" style="4" customWidth="1"/>
    <col min="30" max="30" width="8" style="4" bestFit="1" customWidth="1"/>
    <col min="31" max="31" width="7.5703125" style="4" customWidth="1"/>
    <col min="32" max="32" width="4.7109375" style="4" customWidth="1"/>
    <col min="33" max="33" width="7.5703125" style="4" customWidth="1"/>
    <col min="34" max="34" width="4.42578125" style="4" customWidth="1"/>
    <col min="35" max="36" width="8.42578125" style="4" customWidth="1"/>
    <col min="37" max="37" width="11" style="4" customWidth="1"/>
    <col min="38" max="38" width="7.5703125" style="4" customWidth="1"/>
    <col min="39" max="39" width="10.42578125" style="4" customWidth="1"/>
    <col min="40" max="40" width="8.42578125" style="4" customWidth="1"/>
    <col min="41" max="16384" width="13.42578125" style="4"/>
  </cols>
  <sheetData>
    <row r="1" spans="2:44" x14ac:dyDescent="0.2">
      <c r="B1" s="1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44" x14ac:dyDescent="0.2">
      <c r="B2" s="1"/>
      <c r="C2" s="2"/>
      <c r="D2" s="2"/>
      <c r="E2" s="2"/>
      <c r="F2" s="5" t="s">
        <v>0</v>
      </c>
      <c r="H2" s="2"/>
      <c r="I2" s="2"/>
      <c r="J2" s="2"/>
      <c r="K2" s="2"/>
      <c r="L2" s="2"/>
      <c r="M2" s="2"/>
      <c r="Q2" s="2"/>
      <c r="R2" s="2"/>
      <c r="S2" s="2"/>
      <c r="T2" s="7"/>
      <c r="U2" s="2"/>
      <c r="V2" s="2"/>
      <c r="W2" s="2"/>
      <c r="X2" s="2"/>
      <c r="AA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2:44" x14ac:dyDescent="0.2">
      <c r="B3" s="2"/>
      <c r="C3" s="2"/>
      <c r="D3" s="2"/>
      <c r="E3" s="2"/>
      <c r="F3" s="1" t="s">
        <v>1</v>
      </c>
      <c r="H3" s="2"/>
      <c r="I3" s="2"/>
      <c r="J3" s="2"/>
      <c r="K3" s="2"/>
      <c r="L3" s="2"/>
      <c r="M3" s="2"/>
      <c r="Q3" s="2"/>
      <c r="R3" s="2"/>
      <c r="S3" s="2"/>
      <c r="T3" s="2"/>
      <c r="U3" s="2"/>
      <c r="V3" s="2"/>
      <c r="W3" s="2"/>
      <c r="X3" s="2"/>
      <c r="AA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2:44" x14ac:dyDescent="0.2">
      <c r="B4" s="8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R4" s="9"/>
      <c r="S4" s="2"/>
      <c r="T4" s="2"/>
      <c r="U4" s="10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2:44" x14ac:dyDescent="0.2">
      <c r="B5" s="11"/>
      <c r="C5" s="2"/>
      <c r="D5" s="2"/>
      <c r="E5" s="2"/>
      <c r="F5" s="2"/>
      <c r="G5" s="3"/>
      <c r="H5" s="2"/>
      <c r="I5" s="2"/>
      <c r="J5" s="2"/>
      <c r="K5" s="12" t="s">
        <v>2</v>
      </c>
      <c r="L5" s="12"/>
      <c r="M5" s="2"/>
      <c r="N5" s="2"/>
      <c r="O5" s="12"/>
      <c r="P5" s="2"/>
      <c r="R5" s="11"/>
      <c r="S5" s="2"/>
      <c r="T5" s="2"/>
      <c r="U5" s="2"/>
      <c r="V5" s="2"/>
      <c r="W5" s="2"/>
      <c r="X5" s="2"/>
      <c r="Y5" s="12"/>
      <c r="Z5" s="12"/>
      <c r="AA5" s="12"/>
      <c r="AB5" s="12"/>
      <c r="AC5" s="12"/>
      <c r="AD5" s="2"/>
      <c r="AE5" s="2"/>
      <c r="AF5" s="2"/>
      <c r="AG5" s="2"/>
      <c r="AH5" s="2"/>
      <c r="AI5" s="2"/>
    </row>
    <row r="6" spans="2:44" x14ac:dyDescent="0.2">
      <c r="B6" s="2"/>
      <c r="C6" s="12" t="s">
        <v>3</v>
      </c>
      <c r="D6" s="2"/>
      <c r="E6" s="2"/>
      <c r="F6" s="2"/>
      <c r="G6" s="13" t="s">
        <v>4</v>
      </c>
      <c r="H6" s="2"/>
      <c r="I6" s="14" t="s">
        <v>5</v>
      </c>
      <c r="J6" s="14"/>
      <c r="K6" s="12" t="s">
        <v>6</v>
      </c>
      <c r="L6" s="12"/>
      <c r="M6" s="12" t="s">
        <v>6</v>
      </c>
      <c r="N6" s="12"/>
      <c r="P6" s="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2"/>
      <c r="AF6" s="12"/>
      <c r="AG6" s="12"/>
      <c r="AH6" s="12"/>
      <c r="AI6" s="12"/>
    </row>
    <row r="7" spans="2:44" x14ac:dyDescent="0.2">
      <c r="B7" s="2"/>
      <c r="C7" s="12" t="s">
        <v>7</v>
      </c>
      <c r="D7" s="2"/>
      <c r="E7" s="2"/>
      <c r="F7" s="2"/>
      <c r="G7" s="15" t="s">
        <v>8</v>
      </c>
      <c r="H7" s="2"/>
      <c r="I7" s="12" t="s">
        <v>9</v>
      </c>
      <c r="J7" s="12"/>
      <c r="K7" s="12" t="s">
        <v>10</v>
      </c>
      <c r="L7" s="12"/>
      <c r="M7" s="12" t="s">
        <v>10</v>
      </c>
      <c r="N7" s="12"/>
      <c r="O7" s="12" t="s">
        <v>11</v>
      </c>
      <c r="P7" s="12" t="s">
        <v>12</v>
      </c>
      <c r="Q7" s="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2"/>
      <c r="AF7" s="12"/>
      <c r="AG7" s="12"/>
      <c r="AH7" s="12"/>
      <c r="AI7" s="12"/>
    </row>
    <row r="8" spans="2:44" x14ac:dyDescent="0.2">
      <c r="B8" s="1" t="s">
        <v>13</v>
      </c>
      <c r="C8" s="16" t="s">
        <v>14</v>
      </c>
      <c r="D8" s="17"/>
      <c r="E8" s="16" t="s">
        <v>15</v>
      </c>
      <c r="F8" s="17"/>
      <c r="G8" s="18" t="s">
        <v>16</v>
      </c>
      <c r="H8" s="17"/>
      <c r="I8" s="16" t="s">
        <v>17</v>
      </c>
      <c r="J8" s="16"/>
      <c r="K8" s="16" t="s">
        <v>17</v>
      </c>
      <c r="L8" s="16"/>
      <c r="M8" s="16" t="s">
        <v>17</v>
      </c>
      <c r="N8" s="16"/>
      <c r="O8" s="12" t="s">
        <v>18</v>
      </c>
      <c r="P8" s="16" t="s">
        <v>19</v>
      </c>
      <c r="Q8" s="2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2"/>
      <c r="AF8" s="16"/>
      <c r="AG8" s="16"/>
      <c r="AH8" s="16"/>
      <c r="AI8" s="16"/>
    </row>
    <row r="9" spans="2:44" x14ac:dyDescent="0.2">
      <c r="B9" s="1"/>
      <c r="C9" s="16"/>
      <c r="D9" s="17"/>
      <c r="E9" s="16"/>
      <c r="F9" s="17"/>
      <c r="G9" s="18"/>
      <c r="H9" s="17"/>
      <c r="I9" s="16"/>
      <c r="J9" s="16"/>
      <c r="K9" s="16"/>
      <c r="L9" s="16"/>
      <c r="M9" s="16"/>
      <c r="N9" s="16"/>
      <c r="O9" s="12"/>
      <c r="P9" s="16"/>
      <c r="Q9" s="2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2"/>
      <c r="AF9" s="16"/>
      <c r="AG9" s="16"/>
      <c r="AH9" s="16"/>
      <c r="AI9" s="16"/>
    </row>
    <row r="10" spans="2:44" x14ac:dyDescent="0.2">
      <c r="B10" s="2"/>
      <c r="C10" s="2"/>
      <c r="D10" s="2"/>
      <c r="E10" s="2"/>
      <c r="F10" s="2"/>
      <c r="G10" s="3"/>
      <c r="H10" s="1" t="s">
        <v>20</v>
      </c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</row>
    <row r="11" spans="2:44" x14ac:dyDescent="0.2">
      <c r="C11" s="2"/>
      <c r="D11" s="2"/>
      <c r="E11" s="2"/>
      <c r="F11" s="2"/>
      <c r="G11" s="3"/>
      <c r="H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2:44" x14ac:dyDescent="0.2">
      <c r="B12" s="19">
        <v>1992</v>
      </c>
      <c r="C12" s="4">
        <v>8469</v>
      </c>
      <c r="E12" s="4">
        <v>9477</v>
      </c>
      <c r="G12" s="20">
        <f t="shared" ref="G12:G29" si="0">E12/C12</f>
        <v>1.1190223166843782</v>
      </c>
      <c r="I12" s="21">
        <v>257.75</v>
      </c>
      <c r="J12" s="21"/>
      <c r="K12" s="22">
        <v>33905</v>
      </c>
      <c r="L12" s="23"/>
      <c r="M12" s="21">
        <v>204.75</v>
      </c>
      <c r="N12" s="24"/>
      <c r="O12" s="20">
        <f t="shared" ref="O12:O29" si="1">M12/I12</f>
        <v>0.79437439379243457</v>
      </c>
      <c r="P12" s="21">
        <f t="shared" ref="P12:P29" si="2">O12*$I$37</f>
        <v>364.22065955383124</v>
      </c>
      <c r="Q12" s="1"/>
      <c r="R12" s="1"/>
      <c r="S12" s="25"/>
      <c r="T12" s="25"/>
      <c r="U12" s="25"/>
      <c r="V12" s="2"/>
      <c r="W12" s="26"/>
      <c r="X12" s="2"/>
      <c r="Y12" s="27"/>
      <c r="Z12" s="2"/>
      <c r="AA12" s="28"/>
      <c r="AB12" s="2"/>
      <c r="AC12" s="26"/>
      <c r="AD12" s="28"/>
    </row>
    <row r="13" spans="2:44" x14ac:dyDescent="0.2">
      <c r="B13" s="29">
        <v>2004</v>
      </c>
      <c r="C13" s="30">
        <v>10661</v>
      </c>
      <c r="D13" s="29"/>
      <c r="E13" s="30">
        <v>11807.085999999999</v>
      </c>
      <c r="F13" s="29"/>
      <c r="G13" s="31">
        <f t="shared" si="0"/>
        <v>1.107502673295188</v>
      </c>
      <c r="H13" s="29"/>
      <c r="I13" s="32">
        <v>253.5</v>
      </c>
      <c r="J13" s="32"/>
      <c r="K13" s="33">
        <v>38323</v>
      </c>
      <c r="L13" s="29"/>
      <c r="M13" s="32">
        <v>191</v>
      </c>
      <c r="N13" s="29"/>
      <c r="O13" s="31">
        <f t="shared" si="1"/>
        <v>0.75345167652859957</v>
      </c>
      <c r="P13" s="32">
        <f t="shared" si="2"/>
        <v>345.45759368836292</v>
      </c>
      <c r="Q13" s="2"/>
      <c r="R13" s="1"/>
      <c r="S13" s="25"/>
      <c r="T13" s="25"/>
      <c r="U13" s="25"/>
      <c r="V13" s="25"/>
      <c r="W13" s="26"/>
      <c r="X13" s="2"/>
      <c r="Y13" s="27"/>
      <c r="Z13" s="34"/>
      <c r="AA13" s="28"/>
      <c r="AB13" s="28"/>
      <c r="AC13" s="26"/>
      <c r="AD13" s="28"/>
    </row>
    <row r="14" spans="2:44" x14ac:dyDescent="0.2">
      <c r="B14" s="19">
        <v>1994</v>
      </c>
      <c r="C14" s="4">
        <v>9352</v>
      </c>
      <c r="E14" s="4">
        <v>10051</v>
      </c>
      <c r="G14" s="20">
        <f t="shared" si="0"/>
        <v>1.074743370402053</v>
      </c>
      <c r="I14" s="21">
        <v>270.25</v>
      </c>
      <c r="J14" s="21"/>
      <c r="K14" s="35">
        <v>34661</v>
      </c>
      <c r="L14" s="23"/>
      <c r="M14" s="21">
        <v>210.5</v>
      </c>
      <c r="N14" s="24"/>
      <c r="O14" s="20">
        <f t="shared" si="1"/>
        <v>0.7789084181313598</v>
      </c>
      <c r="P14" s="21">
        <f t="shared" si="2"/>
        <v>357.12950971322846</v>
      </c>
      <c r="Q14" s="2"/>
      <c r="R14" s="1"/>
      <c r="S14" s="25"/>
      <c r="T14" s="25"/>
      <c r="U14" s="25"/>
      <c r="V14" s="25"/>
      <c r="W14" s="26"/>
      <c r="X14" s="2"/>
      <c r="Y14" s="27"/>
      <c r="Z14" s="27"/>
      <c r="AA14" s="28"/>
      <c r="AB14" s="28"/>
      <c r="AC14" s="26"/>
      <c r="AD14" s="28"/>
    </row>
    <row r="15" spans="2:44" x14ac:dyDescent="0.2">
      <c r="B15" s="29">
        <v>1996</v>
      </c>
      <c r="C15" s="36">
        <v>8789</v>
      </c>
      <c r="D15" s="36"/>
      <c r="E15" s="36">
        <v>9233</v>
      </c>
      <c r="F15" s="36"/>
      <c r="G15" s="31">
        <f t="shared" si="0"/>
        <v>1.0505176925702582</v>
      </c>
      <c r="H15" s="36"/>
      <c r="I15" s="32">
        <v>297.25</v>
      </c>
      <c r="J15" s="32"/>
      <c r="K15" s="37">
        <v>35374</v>
      </c>
      <c r="L15" s="38"/>
      <c r="M15" s="32">
        <v>257.75</v>
      </c>
      <c r="N15" s="39"/>
      <c r="O15" s="31">
        <f t="shared" si="1"/>
        <v>0.86711522287636666</v>
      </c>
      <c r="P15" s="32">
        <f t="shared" si="2"/>
        <v>397.57232968881414</v>
      </c>
      <c r="R15" s="1"/>
      <c r="S15" s="25"/>
      <c r="T15" s="25"/>
      <c r="U15" s="25"/>
      <c r="V15" s="2"/>
      <c r="W15" s="26"/>
      <c r="X15" s="2"/>
      <c r="Y15" s="27"/>
      <c r="Z15" s="2"/>
      <c r="AA15" s="28"/>
      <c r="AB15" s="2"/>
      <c r="AC15" s="26"/>
      <c r="AD15" s="28"/>
    </row>
    <row r="16" spans="2:44" x14ac:dyDescent="0.2">
      <c r="B16" s="19">
        <v>1998</v>
      </c>
      <c r="C16" s="40">
        <v>9299</v>
      </c>
      <c r="D16" s="19"/>
      <c r="E16" s="40">
        <v>9758.6849999999995</v>
      </c>
      <c r="F16" s="19"/>
      <c r="G16" s="20">
        <f t="shared" si="0"/>
        <v>1.0494338100871061</v>
      </c>
      <c r="H16" s="19"/>
      <c r="I16" s="21">
        <v>279.75</v>
      </c>
      <c r="J16" s="21"/>
      <c r="K16" s="35">
        <v>36039</v>
      </c>
      <c r="L16" s="19"/>
      <c r="M16" s="21">
        <v>196</v>
      </c>
      <c r="N16" s="19"/>
      <c r="O16" s="20">
        <f t="shared" si="1"/>
        <v>0.70062555853440567</v>
      </c>
      <c r="P16" s="21">
        <f t="shared" si="2"/>
        <v>321.23681858802502</v>
      </c>
      <c r="Q16" s="2"/>
      <c r="R16" s="1"/>
      <c r="S16" s="25"/>
      <c r="T16" s="25"/>
      <c r="U16" s="25"/>
      <c r="V16" s="2"/>
      <c r="W16" s="26"/>
      <c r="X16" s="2"/>
      <c r="Y16" s="27"/>
      <c r="Z16" s="28"/>
      <c r="AA16" s="28"/>
      <c r="AB16" s="28"/>
      <c r="AC16" s="26"/>
      <c r="AD16" s="28"/>
    </row>
    <row r="17" spans="2:30" x14ac:dyDescent="0.2">
      <c r="B17" s="29">
        <v>1997</v>
      </c>
      <c r="C17" s="36">
        <v>8792</v>
      </c>
      <c r="D17" s="36"/>
      <c r="E17" s="36">
        <v>9207</v>
      </c>
      <c r="F17" s="36"/>
      <c r="G17" s="31">
        <f t="shared" si="0"/>
        <v>1.0472020018198362</v>
      </c>
      <c r="H17" s="36"/>
      <c r="I17" s="32">
        <v>257.75</v>
      </c>
      <c r="J17" s="32"/>
      <c r="K17" s="37">
        <v>35618</v>
      </c>
      <c r="L17" s="38"/>
      <c r="M17" s="32">
        <v>227.5</v>
      </c>
      <c r="N17" s="39"/>
      <c r="O17" s="31">
        <f t="shared" si="1"/>
        <v>0.88263821532492726</v>
      </c>
      <c r="P17" s="32">
        <f t="shared" si="2"/>
        <v>404.68962172647917</v>
      </c>
      <c r="Q17" s="2"/>
      <c r="R17" s="1"/>
      <c r="S17" s="25"/>
      <c r="T17" s="25"/>
      <c r="U17" s="25"/>
      <c r="V17" s="2"/>
      <c r="W17" s="26"/>
      <c r="X17" s="2"/>
      <c r="Y17" s="27"/>
      <c r="Z17" s="2"/>
      <c r="AA17" s="28"/>
      <c r="AB17" s="28"/>
      <c r="AC17" s="26"/>
      <c r="AD17" s="28"/>
    </row>
    <row r="18" spans="2:30" x14ac:dyDescent="0.2">
      <c r="B18" s="19">
        <v>2025</v>
      </c>
      <c r="C18" s="40">
        <v>16470</v>
      </c>
      <c r="D18" s="19"/>
      <c r="E18" s="40">
        <v>17021</v>
      </c>
      <c r="F18" s="19"/>
      <c r="G18" s="20">
        <f>E18/C18</f>
        <v>1.0334547662416516</v>
      </c>
      <c r="H18" s="19"/>
      <c r="I18" s="21">
        <v>446.5</v>
      </c>
      <c r="J18" s="21"/>
      <c r="K18" s="35">
        <v>45881</v>
      </c>
      <c r="L18" s="19"/>
      <c r="M18" s="21">
        <v>392</v>
      </c>
      <c r="N18" s="19"/>
      <c r="O18" s="20">
        <f>M18/I18</f>
        <v>0.87793952967525191</v>
      </c>
      <c r="P18" s="21">
        <f t="shared" si="2"/>
        <v>402.535274356103</v>
      </c>
      <c r="Q18" s="2"/>
      <c r="R18" s="1"/>
      <c r="S18" s="25"/>
      <c r="T18" s="25"/>
      <c r="U18" s="25"/>
      <c r="V18" s="25"/>
      <c r="W18" s="26"/>
      <c r="X18" s="2"/>
      <c r="Y18" s="27"/>
      <c r="Z18" s="27"/>
      <c r="AA18" s="28"/>
      <c r="AB18" s="28"/>
      <c r="AC18" s="26"/>
      <c r="AD18" s="28"/>
    </row>
    <row r="19" spans="2:30" x14ac:dyDescent="0.2">
      <c r="B19" s="29">
        <v>2016</v>
      </c>
      <c r="C19" s="30">
        <v>14637.952044431855</v>
      </c>
      <c r="D19" s="29"/>
      <c r="E19" s="30">
        <v>15148.038</v>
      </c>
      <c r="F19" s="29"/>
      <c r="G19" s="31">
        <f t="shared" si="0"/>
        <v>1.0348468114952034</v>
      </c>
      <c r="H19" s="29"/>
      <c r="I19" s="32">
        <v>376.25</v>
      </c>
      <c r="J19" s="32"/>
      <c r="K19" s="37">
        <v>42613</v>
      </c>
      <c r="L19" s="29"/>
      <c r="M19" s="32">
        <v>314.75</v>
      </c>
      <c r="N19" s="29"/>
      <c r="O19" s="31">
        <f t="shared" si="1"/>
        <v>0.83654485049833882</v>
      </c>
      <c r="P19" s="32">
        <f t="shared" si="2"/>
        <v>383.55581395348833</v>
      </c>
      <c r="Q19" s="28"/>
      <c r="R19" s="1"/>
      <c r="S19" s="25"/>
      <c r="T19" s="25"/>
      <c r="U19" s="25"/>
      <c r="V19" s="2"/>
      <c r="W19" s="26"/>
      <c r="X19" s="2"/>
      <c r="Y19" s="27"/>
      <c r="Z19" s="2"/>
      <c r="AA19" s="28"/>
      <c r="AB19" s="2"/>
      <c r="AC19" s="26"/>
      <c r="AD19" s="28"/>
    </row>
    <row r="20" spans="2:30" x14ac:dyDescent="0.2">
      <c r="B20" s="19">
        <v>2014</v>
      </c>
      <c r="C20" s="4">
        <v>13748.845015120145</v>
      </c>
      <c r="E20" s="4">
        <v>14215.531999999999</v>
      </c>
      <c r="G20" s="20">
        <f t="shared" si="0"/>
        <v>1.0339437228630202</v>
      </c>
      <c r="I20" s="21">
        <v>448.25</v>
      </c>
      <c r="J20" s="21"/>
      <c r="K20" s="35">
        <v>41913</v>
      </c>
      <c r="L20" s="23"/>
      <c r="M20" s="21">
        <v>318.25</v>
      </c>
      <c r="N20" s="24"/>
      <c r="O20" s="20">
        <f t="shared" si="1"/>
        <v>0.70998326826547686</v>
      </c>
      <c r="P20" s="21">
        <f t="shared" si="2"/>
        <v>325.52732849972114</v>
      </c>
      <c r="Q20" s="2"/>
      <c r="R20" s="1"/>
      <c r="S20" s="25"/>
      <c r="T20" s="25"/>
      <c r="U20" s="28">
        <f>MEDIAN(O19:O21,O15:O17)</f>
        <v>0.77326405938190779</v>
      </c>
      <c r="V20" s="25"/>
      <c r="W20" s="26"/>
      <c r="X20" s="2"/>
      <c r="Y20" s="27"/>
      <c r="Z20" s="34"/>
      <c r="AA20" s="28"/>
      <c r="AB20" s="28"/>
      <c r="AC20" s="26"/>
      <c r="AD20" s="28"/>
    </row>
    <row r="21" spans="2:30" x14ac:dyDescent="0.2">
      <c r="B21" s="29">
        <v>2013</v>
      </c>
      <c r="C21" s="30">
        <v>13453.856777088407</v>
      </c>
      <c r="D21" s="29"/>
      <c r="E21" s="30">
        <v>13828.964</v>
      </c>
      <c r="F21" s="29"/>
      <c r="G21" s="31">
        <f t="shared" si="0"/>
        <v>1.0278810179955529</v>
      </c>
      <c r="H21" s="29"/>
      <c r="I21" s="32">
        <v>592.25</v>
      </c>
      <c r="J21" s="32"/>
      <c r="K21" s="37">
        <v>41597</v>
      </c>
      <c r="L21" s="29"/>
      <c r="M21" s="32">
        <v>410.75</v>
      </c>
      <c r="N21" s="29"/>
      <c r="O21" s="31">
        <f t="shared" si="1"/>
        <v>0.6935415787252005</v>
      </c>
      <c r="P21" s="32">
        <f t="shared" si="2"/>
        <v>317.98881384550441</v>
      </c>
      <c r="Q21" s="2"/>
      <c r="R21" s="1"/>
      <c r="S21" s="25"/>
      <c r="T21" s="25"/>
      <c r="U21" s="25"/>
      <c r="V21" s="25"/>
      <c r="W21" s="26"/>
      <c r="X21" s="2"/>
      <c r="Y21" s="27"/>
      <c r="Z21" s="27"/>
      <c r="AA21" s="28"/>
      <c r="AB21" s="28"/>
      <c r="AC21" s="26"/>
      <c r="AD21" s="28"/>
    </row>
    <row r="22" spans="2:30" s="5" customFormat="1" x14ac:dyDescent="0.2">
      <c r="B22" s="19">
        <v>2023</v>
      </c>
      <c r="C22" s="40">
        <v>14966</v>
      </c>
      <c r="D22" s="19"/>
      <c r="E22" s="40">
        <v>15341</v>
      </c>
      <c r="F22" s="19"/>
      <c r="G22" s="20">
        <f>E22/C22</f>
        <v>1.0250567954029133</v>
      </c>
      <c r="H22" s="19"/>
      <c r="I22" s="21">
        <v>606.75</v>
      </c>
      <c r="J22" s="21"/>
      <c r="K22" s="35">
        <v>45259</v>
      </c>
      <c r="L22" s="19"/>
      <c r="M22" s="21">
        <v>447</v>
      </c>
      <c r="N22" s="19"/>
      <c r="O22" s="20">
        <f>M22/I22</f>
        <v>0.73671199011124844</v>
      </c>
      <c r="P22" s="21">
        <f t="shared" si="2"/>
        <v>337.7824474660074</v>
      </c>
      <c r="Q22" s="41"/>
      <c r="R22" s="42"/>
      <c r="S22" s="43"/>
      <c r="T22" s="43"/>
      <c r="U22" s="43"/>
      <c r="V22" s="43"/>
      <c r="W22" s="44"/>
      <c r="X22" s="41"/>
      <c r="Y22" s="45"/>
      <c r="Z22" s="45"/>
      <c r="AA22" s="46"/>
      <c r="AB22" s="46"/>
      <c r="AC22" s="44"/>
      <c r="AD22" s="46"/>
    </row>
    <row r="23" spans="2:30" x14ac:dyDescent="0.2">
      <c r="B23" s="29">
        <v>2007</v>
      </c>
      <c r="C23" s="36">
        <v>12737.725198699707</v>
      </c>
      <c r="D23" s="36"/>
      <c r="E23" s="36">
        <v>13037.875</v>
      </c>
      <c r="F23" s="36"/>
      <c r="G23" s="31">
        <f t="shared" si="0"/>
        <v>1.0235638464967773</v>
      </c>
      <c r="H23" s="36"/>
      <c r="I23" s="32">
        <v>362</v>
      </c>
      <c r="J23" s="32"/>
      <c r="K23" s="37">
        <v>39286</v>
      </c>
      <c r="L23" s="38"/>
      <c r="M23" s="32">
        <v>324.5</v>
      </c>
      <c r="N23" s="39"/>
      <c r="O23" s="31">
        <f t="shared" si="1"/>
        <v>0.89640883977900554</v>
      </c>
      <c r="P23" s="32">
        <f t="shared" si="2"/>
        <v>411.00345303867402</v>
      </c>
      <c r="Q23" s="2"/>
      <c r="R23" s="1"/>
      <c r="S23" s="25"/>
      <c r="T23" s="25"/>
      <c r="U23" s="25"/>
      <c r="V23" s="25"/>
      <c r="W23" s="26"/>
      <c r="X23" s="2"/>
      <c r="Y23" s="27"/>
      <c r="Z23" s="27"/>
      <c r="AA23" s="28"/>
      <c r="AB23" s="28"/>
      <c r="AC23" s="26"/>
      <c r="AD23" s="28"/>
    </row>
    <row r="24" spans="2:30" x14ac:dyDescent="0.2">
      <c r="B24" s="19" t="s">
        <v>21</v>
      </c>
      <c r="C24" s="40">
        <v>7761</v>
      </c>
      <c r="D24" s="19"/>
      <c r="E24" s="40">
        <v>7935</v>
      </c>
      <c r="F24" s="19"/>
      <c r="G24" s="20">
        <f t="shared" si="0"/>
        <v>1.0224197912640123</v>
      </c>
      <c r="H24" s="19"/>
      <c r="I24" s="21">
        <v>245.5</v>
      </c>
      <c r="J24" s="21"/>
      <c r="K24" s="35">
        <v>33204</v>
      </c>
      <c r="L24" s="19"/>
      <c r="M24" s="21">
        <v>215.5</v>
      </c>
      <c r="N24" s="19"/>
      <c r="O24" s="20">
        <f t="shared" si="1"/>
        <v>0.87780040733197551</v>
      </c>
      <c r="P24" s="21">
        <f t="shared" si="2"/>
        <v>402.47148676171076</v>
      </c>
      <c r="Q24" s="2"/>
      <c r="R24" s="1"/>
      <c r="S24" s="25"/>
      <c r="T24" s="25"/>
      <c r="U24" s="25"/>
      <c r="V24" s="25"/>
      <c r="W24" s="26"/>
      <c r="X24" s="2"/>
      <c r="Y24" s="27"/>
      <c r="Z24" s="27"/>
      <c r="AA24" s="28"/>
      <c r="AB24" s="28"/>
      <c r="AC24" s="26"/>
      <c r="AD24" s="28"/>
    </row>
    <row r="25" spans="2:30" x14ac:dyDescent="0.2">
      <c r="B25" s="29">
        <v>2000</v>
      </c>
      <c r="C25" s="36">
        <v>9741</v>
      </c>
      <c r="D25" s="36"/>
      <c r="E25" s="36">
        <v>9915</v>
      </c>
      <c r="F25" s="36"/>
      <c r="G25" s="31">
        <f t="shared" si="0"/>
        <v>1.0178626424391746</v>
      </c>
      <c r="H25" s="36"/>
      <c r="I25" s="32">
        <v>231.5</v>
      </c>
      <c r="J25" s="32"/>
      <c r="K25" s="37">
        <v>36749</v>
      </c>
      <c r="L25" s="38"/>
      <c r="M25" s="32">
        <v>185.5</v>
      </c>
      <c r="N25" s="39"/>
      <c r="O25" s="31">
        <f t="shared" si="1"/>
        <v>0.80129589632829379</v>
      </c>
      <c r="P25" s="32">
        <f t="shared" si="2"/>
        <v>367.39416846652273</v>
      </c>
      <c r="Q25" s="2"/>
      <c r="R25" s="1"/>
      <c r="S25" s="25"/>
      <c r="T25" s="25"/>
      <c r="U25" s="25"/>
      <c r="V25" s="25"/>
      <c r="W25" s="26"/>
      <c r="X25" s="2"/>
      <c r="Y25" s="27"/>
      <c r="Z25" s="27"/>
      <c r="AA25" s="28"/>
      <c r="AB25" s="28"/>
      <c r="AC25" s="26"/>
      <c r="AD25" s="28"/>
    </row>
    <row r="26" spans="2:30" x14ac:dyDescent="0.2">
      <c r="B26" s="19">
        <v>2021</v>
      </c>
      <c r="C26" s="40">
        <v>14956</v>
      </c>
      <c r="D26" s="19"/>
      <c r="E26" s="40">
        <v>15074</v>
      </c>
      <c r="F26" s="19"/>
      <c r="G26" s="20">
        <f t="shared" si="0"/>
        <v>1.0078898101096549</v>
      </c>
      <c r="H26" s="19"/>
      <c r="I26" s="21">
        <v>434.5</v>
      </c>
      <c r="J26" s="21"/>
      <c r="K26" s="35">
        <v>44221</v>
      </c>
      <c r="L26" s="19"/>
      <c r="M26" s="21">
        <v>423.5</v>
      </c>
      <c r="N26" s="19"/>
      <c r="O26" s="20">
        <f t="shared" si="1"/>
        <v>0.97468354430379744</v>
      </c>
      <c r="P26" s="21">
        <f t="shared" si="2"/>
        <v>446.89240506329111</v>
      </c>
      <c r="Q26" s="2"/>
      <c r="R26" s="1"/>
      <c r="S26" s="25"/>
      <c r="T26" s="25"/>
      <c r="U26" s="25"/>
      <c r="V26" s="25"/>
      <c r="W26" s="26"/>
      <c r="X26" s="2"/>
      <c r="Y26" s="27"/>
      <c r="Z26" s="27"/>
      <c r="AA26" s="28"/>
      <c r="AB26" s="28"/>
      <c r="AC26" s="26"/>
      <c r="AD26" s="28"/>
    </row>
    <row r="27" spans="2:30" x14ac:dyDescent="0.2">
      <c r="B27" s="29">
        <v>2018</v>
      </c>
      <c r="C27" s="36">
        <v>14287</v>
      </c>
      <c r="D27" s="36"/>
      <c r="E27" s="36">
        <v>14340</v>
      </c>
      <c r="F27" s="36"/>
      <c r="G27" s="31">
        <f t="shared" si="0"/>
        <v>1.0037096661300482</v>
      </c>
      <c r="H27" s="36"/>
      <c r="I27" s="32">
        <v>386.5</v>
      </c>
      <c r="J27" s="32"/>
      <c r="K27" s="37">
        <v>43361</v>
      </c>
      <c r="L27" s="38"/>
      <c r="M27" s="32">
        <v>342.5</v>
      </c>
      <c r="N27" s="39"/>
      <c r="O27" s="31">
        <f t="shared" si="1"/>
        <v>0.88615782664941789</v>
      </c>
      <c r="P27" s="32">
        <f t="shared" si="2"/>
        <v>406.30336351875809</v>
      </c>
      <c r="Q27" s="2"/>
      <c r="R27" s="1"/>
      <c r="S27" s="25"/>
      <c r="T27" s="47"/>
      <c r="U27" s="25"/>
      <c r="V27" s="1"/>
      <c r="W27" s="26"/>
      <c r="X27" s="1"/>
      <c r="Y27" s="48"/>
      <c r="Z27" s="28"/>
      <c r="AA27" s="28"/>
      <c r="AB27" s="28"/>
      <c r="AC27" s="26"/>
      <c r="AD27" s="28"/>
    </row>
    <row r="28" spans="2:30" x14ac:dyDescent="0.2">
      <c r="B28" s="19">
        <v>2008</v>
      </c>
      <c r="C28" s="4">
        <v>12056.791836314076</v>
      </c>
      <c r="E28" s="4">
        <v>12091.647999999999</v>
      </c>
      <c r="G28" s="20">
        <f t="shared" si="0"/>
        <v>1.0028909982157059</v>
      </c>
      <c r="I28" s="21">
        <v>480.25</v>
      </c>
      <c r="J28" s="21"/>
      <c r="K28" s="35">
        <v>39787</v>
      </c>
      <c r="L28" s="23"/>
      <c r="M28" s="21">
        <v>290</v>
      </c>
      <c r="N28" s="24"/>
      <c r="O28" s="20">
        <f t="shared" si="1"/>
        <v>0.6038521603331598</v>
      </c>
      <c r="P28" s="21">
        <f t="shared" si="2"/>
        <v>276.8662155127538</v>
      </c>
      <c r="Q28" s="2"/>
      <c r="R28" s="1"/>
      <c r="S28" s="25"/>
      <c r="T28" s="25"/>
      <c r="U28" s="25"/>
      <c r="V28" s="25"/>
      <c r="W28" s="26"/>
      <c r="X28" s="2"/>
      <c r="Y28" s="27"/>
      <c r="Z28" s="27"/>
      <c r="AA28" s="28"/>
      <c r="AB28" s="28"/>
      <c r="AC28" s="26"/>
      <c r="AD28" s="28"/>
    </row>
    <row r="29" spans="2:30" x14ac:dyDescent="0.2">
      <c r="B29" s="29">
        <v>2009</v>
      </c>
      <c r="C29" s="30">
        <v>13067.582590816157</v>
      </c>
      <c r="D29" s="29"/>
      <c r="E29" s="30">
        <v>13091.861999999999</v>
      </c>
      <c r="F29" s="29"/>
      <c r="G29" s="31">
        <f t="shared" si="0"/>
        <v>1.0018579878118319</v>
      </c>
      <c r="H29" s="29"/>
      <c r="I29" s="32">
        <v>456.25</v>
      </c>
      <c r="J29" s="32"/>
      <c r="K29" s="37">
        <v>40064</v>
      </c>
      <c r="L29" s="29"/>
      <c r="M29" s="32">
        <v>302</v>
      </c>
      <c r="N29" s="29"/>
      <c r="O29" s="31">
        <f t="shared" si="1"/>
        <v>0.66191780821917812</v>
      </c>
      <c r="P29" s="32">
        <f t="shared" si="2"/>
        <v>303.48931506849317</v>
      </c>
      <c r="Q29" s="2"/>
      <c r="R29" s="1"/>
      <c r="S29" s="25"/>
      <c r="T29" s="25"/>
      <c r="U29" s="25"/>
      <c r="V29" s="25"/>
      <c r="W29" s="26"/>
      <c r="X29" s="2"/>
      <c r="Y29" s="27"/>
      <c r="Z29" s="27"/>
      <c r="AA29" s="28"/>
      <c r="AB29" s="28"/>
      <c r="AC29" s="26"/>
      <c r="AD29" s="28"/>
    </row>
    <row r="31" spans="2:30" x14ac:dyDescent="0.2">
      <c r="B31" s="19"/>
      <c r="C31" s="40"/>
      <c r="D31" s="19"/>
      <c r="E31" s="40"/>
      <c r="F31" s="19"/>
      <c r="G31" s="20"/>
      <c r="H31" s="19"/>
      <c r="I31" s="21"/>
      <c r="J31" s="21"/>
      <c r="K31" s="35"/>
      <c r="L31" s="19"/>
      <c r="M31" s="21"/>
      <c r="N31" s="24"/>
      <c r="O31" s="40"/>
      <c r="P31" s="21"/>
      <c r="Q31" s="41"/>
      <c r="R31" s="42"/>
      <c r="S31" s="43"/>
      <c r="T31" s="43"/>
      <c r="U31" s="43"/>
      <c r="V31" s="43"/>
      <c r="W31" s="44"/>
      <c r="X31" s="41"/>
      <c r="Y31" s="45"/>
      <c r="Z31" s="45"/>
      <c r="AA31" s="46"/>
      <c r="AB31" s="46"/>
      <c r="AC31" s="44"/>
      <c r="AD31" s="46"/>
    </row>
    <row r="32" spans="2:30" x14ac:dyDescent="0.2">
      <c r="B32" s="5" t="s">
        <v>22</v>
      </c>
      <c r="C32" s="5"/>
      <c r="D32" s="5"/>
      <c r="E32" s="5"/>
      <c r="F32" s="5"/>
      <c r="G32" s="49">
        <f>MEDIAN(G12:G29)</f>
        <v>1.0306678921186023</v>
      </c>
      <c r="H32" s="5"/>
      <c r="I32" s="5"/>
      <c r="J32" s="5"/>
      <c r="K32" s="50"/>
      <c r="L32" s="5"/>
      <c r="M32" s="51">
        <f>MEDIAN(M12:M29)</f>
        <v>296</v>
      </c>
      <c r="N32" s="5"/>
      <c r="O32" s="49">
        <f>MEDIAN(O12:O29)</f>
        <v>0.79783514506036424</v>
      </c>
      <c r="P32" s="51">
        <f>MEDIAN(P12:P29)</f>
        <v>365.80741401017701</v>
      </c>
      <c r="Q32" s="2"/>
      <c r="R32" s="1"/>
      <c r="S32" s="25"/>
      <c r="T32" s="25"/>
      <c r="U32" s="25"/>
      <c r="V32" s="25"/>
      <c r="W32" s="26"/>
      <c r="X32" s="2"/>
      <c r="Y32" s="27"/>
      <c r="Z32" s="34"/>
      <c r="AA32" s="28"/>
      <c r="AB32" s="28"/>
      <c r="AC32" s="26"/>
      <c r="AD32" s="28"/>
    </row>
    <row r="33" spans="2:30" x14ac:dyDescent="0.2">
      <c r="B33" s="1"/>
      <c r="C33" s="25"/>
      <c r="D33" s="1"/>
      <c r="E33" s="25"/>
      <c r="F33" s="1"/>
      <c r="G33" s="52"/>
      <c r="H33" s="1"/>
      <c r="I33" s="28"/>
      <c r="J33" s="28"/>
      <c r="K33" s="27"/>
      <c r="L33" s="1"/>
      <c r="M33" s="28"/>
      <c r="N33" s="53"/>
      <c r="O33" s="25"/>
      <c r="P33" s="28"/>
      <c r="Q33" s="2"/>
      <c r="R33" s="1"/>
      <c r="S33" s="25"/>
      <c r="T33" s="25"/>
      <c r="U33" s="25"/>
      <c r="V33" s="25"/>
      <c r="W33" s="26"/>
      <c r="X33" s="2"/>
      <c r="Y33" s="27"/>
      <c r="Z33" s="27"/>
      <c r="AA33" s="28"/>
      <c r="AB33" s="28"/>
      <c r="AC33" s="26"/>
      <c r="AD33" s="28"/>
    </row>
    <row r="34" spans="2:30" x14ac:dyDescent="0.2">
      <c r="B34" s="1"/>
      <c r="C34" s="25"/>
      <c r="D34" s="1"/>
      <c r="E34" s="25"/>
      <c r="F34" s="1"/>
      <c r="G34" s="52"/>
      <c r="H34" s="54" t="s">
        <v>23</v>
      </c>
      <c r="J34" s="1"/>
      <c r="K34" s="27"/>
      <c r="L34" s="1"/>
      <c r="M34" s="28"/>
      <c r="N34" s="53"/>
      <c r="O34" s="25"/>
      <c r="P34" s="28"/>
      <c r="Q34" s="2"/>
      <c r="R34" s="1"/>
      <c r="S34" s="25"/>
      <c r="T34" s="25"/>
      <c r="U34" s="25"/>
      <c r="V34" s="25"/>
      <c r="W34" s="26"/>
      <c r="X34" s="2"/>
      <c r="Y34" s="27"/>
      <c r="Z34" s="34"/>
      <c r="AA34" s="28"/>
      <c r="AB34" s="28"/>
      <c r="AC34" s="26"/>
      <c r="AD34" s="28"/>
    </row>
    <row r="35" spans="2:30" x14ac:dyDescent="0.2">
      <c r="B35" s="1"/>
      <c r="C35" s="25"/>
      <c r="D35" s="1"/>
      <c r="E35" s="25"/>
      <c r="F35" s="1"/>
      <c r="G35" s="52"/>
      <c r="H35" s="1"/>
      <c r="I35" s="28"/>
      <c r="J35" s="28"/>
      <c r="K35" s="27"/>
      <c r="L35" s="1"/>
      <c r="M35" s="28"/>
      <c r="N35" s="53"/>
      <c r="O35" s="25"/>
      <c r="P35" s="28"/>
      <c r="Q35" s="2"/>
      <c r="R35" s="1"/>
      <c r="S35" s="25"/>
      <c r="T35" s="25"/>
      <c r="U35" s="25"/>
      <c r="V35" s="25"/>
      <c r="W35" s="26"/>
      <c r="X35" s="2"/>
      <c r="Y35" s="27"/>
      <c r="Z35" s="28"/>
      <c r="AA35" s="28"/>
      <c r="AB35" s="28"/>
      <c r="AC35" s="26"/>
      <c r="AD35" s="28"/>
    </row>
    <row r="37" spans="2:30" x14ac:dyDescent="0.2">
      <c r="B37" s="55">
        <v>2026</v>
      </c>
      <c r="C37" s="56">
        <v>16120</v>
      </c>
      <c r="D37" s="57"/>
      <c r="E37" s="56">
        <v>15979</v>
      </c>
      <c r="F37" s="57"/>
      <c r="G37" s="58">
        <f>E37/C37</f>
        <v>0.99125310173697267</v>
      </c>
      <c r="H37" s="57"/>
      <c r="I37" s="59">
        <v>458.5</v>
      </c>
      <c r="J37" s="59"/>
      <c r="K37" s="60"/>
      <c r="L37" s="55"/>
      <c r="M37" s="59">
        <v>400</v>
      </c>
      <c r="N37" s="61" t="s">
        <v>24</v>
      </c>
      <c r="O37" s="58">
        <f>M37/I37</f>
        <v>0.8724100327153762</v>
      </c>
      <c r="P37" s="59">
        <f t="shared" ref="P37:P55" si="3">O37*$I$37</f>
        <v>400</v>
      </c>
      <c r="Q37" s="41"/>
      <c r="R37" s="42"/>
      <c r="S37" s="43"/>
      <c r="T37" s="43"/>
      <c r="U37" s="43"/>
      <c r="V37" s="43"/>
      <c r="W37" s="44"/>
      <c r="X37" s="41"/>
      <c r="Y37" s="45"/>
      <c r="Z37" s="45"/>
      <c r="AA37" s="46"/>
      <c r="AB37" s="46"/>
      <c r="AC37" s="44"/>
      <c r="AD37" s="46"/>
    </row>
    <row r="38" spans="2:30" x14ac:dyDescent="0.2">
      <c r="B38" s="19">
        <v>2022</v>
      </c>
      <c r="C38" s="40">
        <v>13706</v>
      </c>
      <c r="D38" s="19"/>
      <c r="E38" s="40">
        <v>13651</v>
      </c>
      <c r="F38" s="19"/>
      <c r="G38" s="20">
        <f>E38/C38</f>
        <v>0.9959871589085072</v>
      </c>
      <c r="H38" s="19"/>
      <c r="I38" s="21">
        <v>547.5</v>
      </c>
      <c r="J38" s="21"/>
      <c r="K38" s="35">
        <v>44564</v>
      </c>
      <c r="L38" s="19"/>
      <c r="M38" s="21">
        <v>542.5</v>
      </c>
      <c r="N38" s="19" t="s">
        <v>25</v>
      </c>
      <c r="O38" s="20">
        <v>0.99</v>
      </c>
      <c r="P38" s="21">
        <f t="shared" si="3"/>
        <v>453.91500000000002</v>
      </c>
    </row>
    <row r="39" spans="2:30" x14ac:dyDescent="0.2">
      <c r="B39" s="29">
        <v>2015</v>
      </c>
      <c r="C39" s="30">
        <v>13663.716000117587</v>
      </c>
      <c r="D39" s="29"/>
      <c r="E39" s="30">
        <v>13601.964</v>
      </c>
      <c r="F39" s="29"/>
      <c r="G39" s="31">
        <f>E39/C39</f>
        <v>0.99548058521436955</v>
      </c>
      <c r="H39" s="29"/>
      <c r="I39" s="32">
        <v>419.5</v>
      </c>
      <c r="J39" s="32"/>
      <c r="K39" s="37">
        <v>42318</v>
      </c>
      <c r="L39" s="29"/>
      <c r="M39" s="32">
        <v>356</v>
      </c>
      <c r="N39" s="29"/>
      <c r="O39" s="31">
        <f t="shared" ref="O39:O55" si="4">M39/I39</f>
        <v>0.84862932061978547</v>
      </c>
      <c r="P39" s="32">
        <f t="shared" si="3"/>
        <v>389.09654350417162</v>
      </c>
      <c r="Q39" s="2"/>
      <c r="R39" s="1"/>
      <c r="S39" s="25"/>
      <c r="T39" s="25"/>
      <c r="U39" s="25"/>
      <c r="V39" s="25"/>
      <c r="W39" s="26"/>
      <c r="X39" s="2"/>
      <c r="Y39" s="27"/>
      <c r="Z39" s="27"/>
      <c r="AA39" s="28"/>
      <c r="AB39" s="28"/>
      <c r="AC39" s="26"/>
      <c r="AD39" s="28"/>
    </row>
    <row r="40" spans="2:30" x14ac:dyDescent="0.2">
      <c r="B40" s="19">
        <v>1999</v>
      </c>
      <c r="C40" s="40">
        <v>9514</v>
      </c>
      <c r="E40" s="40">
        <v>9430.6119999999992</v>
      </c>
      <c r="G40" s="20">
        <f t="shared" ref="G40:G55" si="5">E40/C40</f>
        <v>0.99123523228925781</v>
      </c>
      <c r="I40" s="21">
        <v>240.75</v>
      </c>
      <c r="J40" s="21"/>
      <c r="K40" s="35">
        <v>36503</v>
      </c>
      <c r="L40" s="19"/>
      <c r="M40" s="21">
        <v>185.25</v>
      </c>
      <c r="N40" s="24"/>
      <c r="O40" s="20">
        <f t="shared" si="4"/>
        <v>0.76947040498442365</v>
      </c>
      <c r="P40" s="21">
        <f t="shared" si="3"/>
        <v>352.80218068535822</v>
      </c>
      <c r="Q40" s="41"/>
      <c r="R40" s="42"/>
      <c r="S40" s="43"/>
      <c r="T40" s="43"/>
      <c r="U40" s="43"/>
      <c r="V40" s="43"/>
      <c r="W40" s="44"/>
      <c r="X40" s="41"/>
      <c r="Y40" s="45"/>
      <c r="Z40" s="45"/>
      <c r="AA40" s="46"/>
      <c r="AB40" s="46"/>
      <c r="AC40" s="44"/>
      <c r="AD40" s="46"/>
    </row>
    <row r="41" spans="2:30" x14ac:dyDescent="0.2">
      <c r="B41" s="29">
        <v>2011</v>
      </c>
      <c r="C41" s="30">
        <v>12530.217972921011</v>
      </c>
      <c r="D41" s="29"/>
      <c r="E41" s="30">
        <v>12359.611999999999</v>
      </c>
      <c r="F41" s="29"/>
      <c r="G41" s="31">
        <f t="shared" si="5"/>
        <v>0.98638443694357847</v>
      </c>
      <c r="H41" s="29"/>
      <c r="I41" s="32">
        <v>552.5</v>
      </c>
      <c r="J41" s="32"/>
      <c r="K41" s="37">
        <v>40547</v>
      </c>
      <c r="L41" s="29"/>
      <c r="M41" s="32">
        <v>536</v>
      </c>
      <c r="N41" s="29"/>
      <c r="O41" s="31">
        <f t="shared" si="4"/>
        <v>0.97013574660633484</v>
      </c>
      <c r="P41" s="32">
        <f t="shared" si="3"/>
        <v>444.80723981900451</v>
      </c>
      <c r="Q41" s="2"/>
      <c r="R41" s="1"/>
      <c r="S41" s="25"/>
      <c r="T41" s="25"/>
      <c r="U41" s="25"/>
      <c r="V41" s="25"/>
      <c r="W41" s="26"/>
      <c r="X41" s="2"/>
      <c r="Y41" s="27"/>
      <c r="Z41" s="9"/>
      <c r="AA41" s="28"/>
      <c r="AB41" s="28"/>
      <c r="AC41" s="26"/>
      <c r="AD41" s="28"/>
    </row>
    <row r="42" spans="2:30" x14ac:dyDescent="0.2">
      <c r="B42" s="19">
        <v>2005</v>
      </c>
      <c r="C42" s="40">
        <v>11268</v>
      </c>
      <c r="E42" s="40">
        <v>11112.187</v>
      </c>
      <c r="G42" s="20">
        <f t="shared" si="5"/>
        <v>0.98617208022719205</v>
      </c>
      <c r="I42" s="21">
        <v>234</v>
      </c>
      <c r="J42" s="21"/>
      <c r="K42" s="35">
        <v>38685</v>
      </c>
      <c r="L42" s="19"/>
      <c r="M42" s="21">
        <v>186</v>
      </c>
      <c r="N42" s="24"/>
      <c r="O42" s="20">
        <f t="shared" si="4"/>
        <v>0.79487179487179482</v>
      </c>
      <c r="P42" s="21">
        <f t="shared" si="3"/>
        <v>364.4487179487179</v>
      </c>
      <c r="Q42" s="2"/>
      <c r="R42" s="1"/>
      <c r="S42" s="25"/>
      <c r="T42" s="25"/>
      <c r="U42" s="25"/>
      <c r="V42" s="25"/>
      <c r="W42" s="26"/>
      <c r="X42" s="2"/>
      <c r="Y42" s="27"/>
      <c r="Z42" s="27"/>
      <c r="AA42" s="28"/>
      <c r="AB42" s="28"/>
      <c r="AC42" s="26"/>
      <c r="AD42" s="28"/>
    </row>
    <row r="43" spans="2:30" x14ac:dyDescent="0.2">
      <c r="B43" s="29">
        <v>2003</v>
      </c>
      <c r="C43" s="30">
        <v>10230</v>
      </c>
      <c r="D43" s="29"/>
      <c r="E43" s="30">
        <v>10087.291999999999</v>
      </c>
      <c r="F43" s="29"/>
      <c r="G43" s="31">
        <f t="shared" si="5"/>
        <v>0.98605004887585523</v>
      </c>
      <c r="H43" s="29"/>
      <c r="I43" s="32">
        <v>241.75</v>
      </c>
      <c r="J43" s="32"/>
      <c r="K43" s="37">
        <v>37827</v>
      </c>
      <c r="L43" s="29"/>
      <c r="M43" s="32">
        <v>212.25</v>
      </c>
      <c r="N43" s="29"/>
      <c r="O43" s="31">
        <f t="shared" si="4"/>
        <v>0.87797311271975176</v>
      </c>
      <c r="P43" s="32">
        <f t="shared" si="3"/>
        <v>402.55067218200617</v>
      </c>
      <c r="Q43" s="41"/>
      <c r="R43" s="42"/>
      <c r="S43" s="43"/>
      <c r="T43" s="43"/>
      <c r="U43" s="43"/>
      <c r="V43" s="43"/>
      <c r="W43" s="44"/>
      <c r="X43" s="41"/>
      <c r="Y43" s="45"/>
      <c r="Z43" s="45"/>
      <c r="AA43" s="46"/>
      <c r="AB43" s="46"/>
      <c r="AC43" s="44"/>
      <c r="AD43" s="46"/>
    </row>
    <row r="44" spans="2:30" x14ac:dyDescent="0.2">
      <c r="B44" s="19">
        <v>2017</v>
      </c>
      <c r="C44" s="40">
        <v>14799</v>
      </c>
      <c r="E44" s="40">
        <v>14609</v>
      </c>
      <c r="G44" s="20">
        <f t="shared" si="5"/>
        <v>0.98716129468207314</v>
      </c>
      <c r="I44" s="21">
        <v>383.5</v>
      </c>
      <c r="J44" s="21"/>
      <c r="K44" s="35">
        <v>43048</v>
      </c>
      <c r="L44" s="19"/>
      <c r="M44" s="21">
        <v>340.75</v>
      </c>
      <c r="N44" s="24"/>
      <c r="O44" s="20">
        <f t="shared" si="4"/>
        <v>0.88852672750977835</v>
      </c>
      <c r="P44" s="21">
        <f t="shared" si="3"/>
        <v>407.38950456323334</v>
      </c>
      <c r="Q44" s="2"/>
      <c r="R44" s="1"/>
      <c r="S44" s="25"/>
      <c r="T44" s="25"/>
      <c r="U44" s="25"/>
      <c r="V44" s="25"/>
      <c r="W44" s="26"/>
      <c r="X44" s="2"/>
      <c r="Y44" s="27"/>
      <c r="Z44" s="34"/>
      <c r="AA44" s="28"/>
      <c r="AB44" s="28"/>
      <c r="AC44" s="26"/>
      <c r="AD44" s="28"/>
    </row>
    <row r="45" spans="2:30" x14ac:dyDescent="0.2">
      <c r="B45" s="29">
        <v>2019</v>
      </c>
      <c r="C45" s="30">
        <v>13887</v>
      </c>
      <c r="D45" s="36"/>
      <c r="E45" s="30">
        <v>13620</v>
      </c>
      <c r="F45" s="36"/>
      <c r="G45" s="31">
        <f t="shared" si="5"/>
        <v>0.98077338518038448</v>
      </c>
      <c r="H45" s="36"/>
      <c r="I45" s="32">
        <v>398.25</v>
      </c>
      <c r="J45" s="32"/>
      <c r="K45" s="37">
        <v>43717</v>
      </c>
      <c r="L45" s="29"/>
      <c r="M45" s="32">
        <v>352.25</v>
      </c>
      <c r="N45" s="39"/>
      <c r="O45" s="31">
        <f t="shared" si="4"/>
        <v>0.88449466415568112</v>
      </c>
      <c r="P45" s="32">
        <f t="shared" si="3"/>
        <v>405.54080351537982</v>
      </c>
      <c r="Q45" s="2"/>
      <c r="R45" s="1"/>
      <c r="S45" s="25"/>
      <c r="T45" s="25"/>
      <c r="U45" s="25"/>
      <c r="V45" s="25"/>
      <c r="W45" s="26" t="s">
        <v>26</v>
      </c>
      <c r="X45" s="2"/>
      <c r="Y45" s="27"/>
      <c r="Z45" s="27"/>
      <c r="AA45" s="28"/>
      <c r="AB45" s="28"/>
      <c r="AC45" s="26"/>
      <c r="AD45" s="28"/>
    </row>
    <row r="46" spans="2:30" x14ac:dyDescent="0.2">
      <c r="B46" s="19">
        <v>2024</v>
      </c>
      <c r="C46" s="40">
        <v>15126</v>
      </c>
      <c r="D46" s="19"/>
      <c r="E46" s="40">
        <v>14892</v>
      </c>
      <c r="F46" s="19"/>
      <c r="G46" s="20">
        <f t="shared" si="5"/>
        <v>0.98452994843316144</v>
      </c>
      <c r="H46" s="19"/>
      <c r="I46" s="21">
        <v>498.25</v>
      </c>
      <c r="J46" s="21"/>
      <c r="K46" s="35">
        <v>45530</v>
      </c>
      <c r="L46" s="19"/>
      <c r="M46" s="21">
        <v>385</v>
      </c>
      <c r="N46" s="19"/>
      <c r="O46" s="20">
        <f t="shared" si="4"/>
        <v>0.77270446562970396</v>
      </c>
      <c r="P46" s="21">
        <f t="shared" si="3"/>
        <v>354.28499749121926</v>
      </c>
      <c r="Q46" s="2"/>
      <c r="R46" s="1"/>
      <c r="S46" s="25"/>
      <c r="T46" s="25"/>
      <c r="U46" s="25"/>
      <c r="V46" s="25"/>
      <c r="W46" s="26"/>
      <c r="X46" s="2"/>
      <c r="Y46" s="27"/>
      <c r="Z46" s="27"/>
      <c r="AA46" s="28"/>
      <c r="AB46" s="28"/>
      <c r="AC46" s="26"/>
      <c r="AD46" s="28"/>
    </row>
    <row r="47" spans="2:30" x14ac:dyDescent="0.2">
      <c r="B47" s="29">
        <v>2012</v>
      </c>
      <c r="C47" s="30">
        <v>11085.645191123782</v>
      </c>
      <c r="D47" s="29"/>
      <c r="E47" s="30">
        <v>10755.111000000001</v>
      </c>
      <c r="F47" s="29"/>
      <c r="G47" s="31">
        <f t="shared" si="5"/>
        <v>0.97018358558070772</v>
      </c>
      <c r="H47" s="29"/>
      <c r="I47" s="32">
        <v>590</v>
      </c>
      <c r="J47" s="32"/>
      <c r="K47" s="37">
        <v>41040</v>
      </c>
      <c r="L47" s="29"/>
      <c r="M47" s="32">
        <v>499</v>
      </c>
      <c r="N47" s="29"/>
      <c r="O47" s="31">
        <f t="shared" si="4"/>
        <v>0.84576271186440677</v>
      </c>
      <c r="P47" s="32">
        <f t="shared" si="3"/>
        <v>387.7822033898305</v>
      </c>
      <c r="Q47" s="2"/>
      <c r="R47" s="1"/>
      <c r="S47" s="25"/>
      <c r="T47" s="25"/>
      <c r="U47" s="25"/>
      <c r="V47" s="25"/>
      <c r="W47" s="26"/>
      <c r="X47" s="2"/>
      <c r="Y47" s="27"/>
      <c r="Z47" s="34"/>
      <c r="AA47" s="28"/>
      <c r="AB47" s="28"/>
      <c r="AC47" s="26"/>
      <c r="AD47" s="28"/>
    </row>
    <row r="48" spans="2:30" x14ac:dyDescent="0.2">
      <c r="B48" s="19">
        <v>2001</v>
      </c>
      <c r="C48" s="40">
        <v>9816</v>
      </c>
      <c r="E48" s="40">
        <v>9502.58</v>
      </c>
      <c r="G48" s="20">
        <f t="shared" si="5"/>
        <v>0.96807049714751425</v>
      </c>
      <c r="I48" s="21">
        <v>258.25</v>
      </c>
      <c r="J48" s="21"/>
      <c r="K48" s="35">
        <v>37224</v>
      </c>
      <c r="L48" s="19"/>
      <c r="M48" s="21">
        <v>198.25</v>
      </c>
      <c r="N48" s="24"/>
      <c r="O48" s="20">
        <f t="shared" si="4"/>
        <v>0.76766698935140365</v>
      </c>
      <c r="P48" s="21">
        <f t="shared" si="3"/>
        <v>351.97531461761855</v>
      </c>
      <c r="Q48" s="2"/>
      <c r="R48" s="1"/>
      <c r="S48" s="25"/>
      <c r="T48" s="25"/>
      <c r="U48" s="25"/>
      <c r="V48" s="2"/>
      <c r="W48" s="26"/>
      <c r="X48" s="2"/>
      <c r="Y48" s="27"/>
      <c r="Z48" s="28"/>
      <c r="AA48" s="28"/>
      <c r="AB48" s="28"/>
      <c r="AC48" s="62"/>
      <c r="AD48" s="63"/>
    </row>
    <row r="49" spans="2:31" x14ac:dyDescent="0.2">
      <c r="B49" s="29">
        <v>2010</v>
      </c>
      <c r="C49" s="30">
        <v>13057.636075911465</v>
      </c>
      <c r="D49" s="29"/>
      <c r="E49" s="30">
        <v>12446.865</v>
      </c>
      <c r="F49" s="29"/>
      <c r="G49" s="31">
        <f t="shared" si="5"/>
        <v>0.95322498863035354</v>
      </c>
      <c r="H49" s="29"/>
      <c r="I49" s="32">
        <v>445.25</v>
      </c>
      <c r="J49" s="32"/>
      <c r="K49" s="37">
        <v>40358</v>
      </c>
      <c r="L49" s="29"/>
      <c r="M49" s="32">
        <v>343.25</v>
      </c>
      <c r="N49" s="29"/>
      <c r="O49" s="31">
        <f t="shared" si="4"/>
        <v>0.77091521617069059</v>
      </c>
      <c r="P49" s="32">
        <f t="shared" si="3"/>
        <v>353.46462661426165</v>
      </c>
      <c r="Q49" s="2"/>
      <c r="R49" s="1"/>
      <c r="S49" s="25"/>
      <c r="T49" s="25"/>
      <c r="U49" s="25"/>
      <c r="V49" s="2"/>
      <c r="W49" s="26"/>
      <c r="X49" s="2"/>
      <c r="Y49" s="27"/>
      <c r="Z49" s="28"/>
      <c r="AA49" s="28"/>
      <c r="AB49" s="28"/>
      <c r="AC49" s="62"/>
      <c r="AD49" s="63"/>
    </row>
    <row r="50" spans="2:31" x14ac:dyDescent="0.2">
      <c r="B50" s="19">
        <v>2002</v>
      </c>
      <c r="C50" s="40">
        <v>9486</v>
      </c>
      <c r="E50" s="40">
        <v>8966.7870000000003</v>
      </c>
      <c r="G50" s="20">
        <f t="shared" si="5"/>
        <v>0.94526533839342186</v>
      </c>
      <c r="I50" s="21">
        <v>233.75</v>
      </c>
      <c r="J50" s="21"/>
      <c r="K50" s="35">
        <v>37358</v>
      </c>
      <c r="L50" s="19"/>
      <c r="M50" s="21">
        <v>215</v>
      </c>
      <c r="N50" s="24"/>
      <c r="O50" s="20">
        <f t="shared" si="4"/>
        <v>0.9197860962566845</v>
      </c>
      <c r="P50" s="21">
        <f t="shared" si="3"/>
        <v>421.72192513368987</v>
      </c>
      <c r="Q50" s="2"/>
      <c r="R50" s="1"/>
      <c r="S50" s="25"/>
      <c r="T50" s="25"/>
      <c r="U50" s="25"/>
      <c r="V50" s="2"/>
      <c r="W50" s="26"/>
      <c r="X50" s="2"/>
      <c r="Y50" s="27"/>
      <c r="Z50" s="28"/>
      <c r="AA50" s="28"/>
      <c r="AB50" s="28"/>
      <c r="AC50" s="62"/>
      <c r="AD50" s="63"/>
    </row>
    <row r="51" spans="2:31" x14ac:dyDescent="0.2">
      <c r="B51" s="29">
        <v>2020</v>
      </c>
      <c r="C51" s="30">
        <v>14819</v>
      </c>
      <c r="D51" s="29"/>
      <c r="E51" s="30">
        <v>14111</v>
      </c>
      <c r="F51" s="29"/>
      <c r="G51" s="31">
        <f t="shared" si="5"/>
        <v>0.95222349686213648</v>
      </c>
      <c r="H51" s="29"/>
      <c r="I51" s="32">
        <v>404.5</v>
      </c>
      <c r="J51" s="32"/>
      <c r="K51" s="37">
        <v>44055</v>
      </c>
      <c r="L51" s="29"/>
      <c r="M51" s="32">
        <v>320</v>
      </c>
      <c r="N51" s="29"/>
      <c r="O51" s="31">
        <f t="shared" si="4"/>
        <v>0.7911001236093943</v>
      </c>
      <c r="P51" s="32">
        <f t="shared" si="3"/>
        <v>362.7194066749073</v>
      </c>
      <c r="Q51" s="2"/>
      <c r="R51" s="1"/>
      <c r="S51" s="25"/>
      <c r="T51" s="25"/>
      <c r="U51" s="25"/>
      <c r="V51" s="2"/>
      <c r="W51" s="26"/>
      <c r="X51" s="2"/>
      <c r="Y51" s="27"/>
      <c r="Z51" s="28"/>
      <c r="AA51" s="28"/>
      <c r="AB51" s="28"/>
      <c r="AC51" s="26"/>
      <c r="AD51" s="28"/>
    </row>
    <row r="52" spans="2:31" x14ac:dyDescent="0.2">
      <c r="B52" s="19" t="s">
        <v>27</v>
      </c>
      <c r="C52" s="40">
        <v>7916</v>
      </c>
      <c r="E52" s="40">
        <v>7475</v>
      </c>
      <c r="G52" s="20">
        <f t="shared" si="5"/>
        <v>0.94429004547751394</v>
      </c>
      <c r="I52" s="21">
        <v>248.5</v>
      </c>
      <c r="J52" s="21"/>
      <c r="K52" s="35">
        <v>33427</v>
      </c>
      <c r="L52" s="19"/>
      <c r="M52" s="21">
        <v>220</v>
      </c>
      <c r="N52" s="24"/>
      <c r="O52" s="20">
        <f t="shared" si="4"/>
        <v>0.88531187122736421</v>
      </c>
      <c r="P52" s="21">
        <f t="shared" si="3"/>
        <v>405.91549295774649</v>
      </c>
      <c r="Q52" s="2"/>
      <c r="R52" s="1"/>
      <c r="S52" s="25"/>
      <c r="T52" s="25"/>
      <c r="U52" s="25"/>
      <c r="V52" s="2"/>
      <c r="W52" s="26"/>
      <c r="X52" s="2"/>
      <c r="Y52" s="27"/>
      <c r="Z52" s="28"/>
      <c r="AA52" s="28"/>
      <c r="AB52" s="28"/>
      <c r="AC52" s="62"/>
      <c r="AD52" s="63"/>
    </row>
    <row r="53" spans="2:31" x14ac:dyDescent="0.2">
      <c r="B53" s="29">
        <v>2006</v>
      </c>
      <c r="C53" s="30">
        <v>11206.817848151917</v>
      </c>
      <c r="D53" s="29"/>
      <c r="E53" s="30">
        <v>10531.123</v>
      </c>
      <c r="F53" s="29"/>
      <c r="G53" s="31">
        <f t="shared" si="5"/>
        <v>0.93970680550827868</v>
      </c>
      <c r="H53" s="29"/>
      <c r="I53" s="32">
        <v>251.5</v>
      </c>
      <c r="J53" s="32"/>
      <c r="K53" s="37">
        <v>38947</v>
      </c>
      <c r="L53" s="29"/>
      <c r="M53" s="32">
        <v>233.5</v>
      </c>
      <c r="N53" s="29"/>
      <c r="O53" s="31">
        <f t="shared" si="4"/>
        <v>0.92842942345924451</v>
      </c>
      <c r="P53" s="32">
        <f t="shared" si="3"/>
        <v>425.6848906560636</v>
      </c>
      <c r="Q53" s="2"/>
      <c r="R53" s="1"/>
      <c r="S53" s="25"/>
      <c r="T53" s="25"/>
      <c r="U53" s="25"/>
      <c r="V53" s="2"/>
      <c r="W53" s="26"/>
      <c r="X53" s="2"/>
      <c r="Y53" s="27"/>
      <c r="Z53" s="28"/>
      <c r="AA53" s="28"/>
      <c r="AB53" s="28"/>
      <c r="AC53" s="62"/>
      <c r="AD53" s="63"/>
    </row>
    <row r="54" spans="2:31" x14ac:dyDescent="0.2">
      <c r="B54" s="19">
        <v>1995</v>
      </c>
      <c r="C54" s="40">
        <v>8548</v>
      </c>
      <c r="E54" s="40">
        <v>7400</v>
      </c>
      <c r="G54" s="20">
        <f t="shared" si="5"/>
        <v>0.86569957884885351</v>
      </c>
      <c r="I54" s="21">
        <v>248</v>
      </c>
      <c r="J54" s="21"/>
      <c r="K54" s="35">
        <v>34702</v>
      </c>
      <c r="L54" s="19"/>
      <c r="M54" s="21">
        <v>247.75</v>
      </c>
      <c r="N54" s="24"/>
      <c r="O54" s="20">
        <f t="shared" si="4"/>
        <v>0.998991935483871</v>
      </c>
      <c r="P54" s="21">
        <f t="shared" si="3"/>
        <v>458.03780241935488</v>
      </c>
      <c r="Q54" s="41"/>
      <c r="R54" s="41"/>
      <c r="S54" s="43"/>
      <c r="T54" s="43"/>
      <c r="U54" s="43"/>
      <c r="V54" s="41"/>
      <c r="W54" s="44"/>
      <c r="X54" s="41"/>
      <c r="Y54" s="64"/>
      <c r="Z54" s="46"/>
      <c r="AA54" s="46"/>
      <c r="AB54" s="46"/>
      <c r="AC54" s="44"/>
      <c r="AD54" s="46"/>
    </row>
    <row r="55" spans="2:31" x14ac:dyDescent="0.2">
      <c r="B55" s="29">
        <v>1993</v>
      </c>
      <c r="C55" s="30">
        <v>7621</v>
      </c>
      <c r="D55" s="29"/>
      <c r="E55" s="30">
        <v>6338</v>
      </c>
      <c r="F55" s="29"/>
      <c r="G55" s="31">
        <f t="shared" si="5"/>
        <v>0.8316493898438525</v>
      </c>
      <c r="H55" s="29"/>
      <c r="I55" s="32">
        <v>238.75</v>
      </c>
      <c r="J55" s="32"/>
      <c r="K55" s="37">
        <v>34134</v>
      </c>
      <c r="L55" s="29"/>
      <c r="M55" s="32">
        <v>225.25</v>
      </c>
      <c r="N55" s="29"/>
      <c r="O55" s="31">
        <f t="shared" si="4"/>
        <v>0.94345549738219892</v>
      </c>
      <c r="P55" s="32">
        <f t="shared" si="3"/>
        <v>432.57434554973821</v>
      </c>
      <c r="R55" s="41"/>
      <c r="S55" s="40"/>
      <c r="T55" s="40"/>
      <c r="U55" s="40"/>
      <c r="Y55" s="9"/>
    </row>
    <row r="56" spans="2:31" x14ac:dyDescent="0.2">
      <c r="K56" s="65"/>
      <c r="T56" s="2"/>
      <c r="AB56" s="65"/>
    </row>
    <row r="57" spans="2:31" x14ac:dyDescent="0.2">
      <c r="B57" s="5" t="s">
        <v>22</v>
      </c>
      <c r="C57" s="5"/>
      <c r="D57" s="5"/>
      <c r="E57" s="5"/>
      <c r="F57" s="5"/>
      <c r="G57" s="49">
        <f>MEDIAN(G40:G55)</f>
        <v>0.96912704136411099</v>
      </c>
      <c r="H57" s="5"/>
      <c r="I57" s="5"/>
      <c r="J57" s="5"/>
      <c r="K57" s="50"/>
      <c r="L57" s="5"/>
      <c r="M57" s="51">
        <f>MEDIAN(M38:M55)</f>
        <v>283.875</v>
      </c>
      <c r="N57" s="5"/>
      <c r="O57" s="49">
        <f>MEDIAN(O38:O55)</f>
        <v>0.88123388843771644</v>
      </c>
      <c r="P57" s="51">
        <f>MEDIAN(P38:P55)</f>
        <v>404.04573784869297</v>
      </c>
      <c r="T57" s="2"/>
      <c r="AB57" s="65"/>
    </row>
    <row r="58" spans="2:31" x14ac:dyDescent="0.2">
      <c r="B58" s="41"/>
      <c r="C58" s="2"/>
      <c r="D58" s="2"/>
      <c r="E58" s="2"/>
      <c r="F58" s="2"/>
      <c r="G58" s="3"/>
      <c r="H58" s="2"/>
      <c r="I58" s="2"/>
      <c r="J58" s="2"/>
      <c r="K58" s="9"/>
      <c r="L58" s="2"/>
      <c r="M58" s="2"/>
      <c r="N58" s="2"/>
      <c r="O58" s="2"/>
      <c r="P58" s="2"/>
      <c r="W58" s="2"/>
      <c r="AE58" s="65"/>
    </row>
    <row r="59" spans="2:31" x14ac:dyDescent="0.2">
      <c r="K59" s="65"/>
    </row>
    <row r="60" spans="2:31" x14ac:dyDescent="0.2">
      <c r="N60" s="65"/>
    </row>
    <row r="61" spans="2:31" x14ac:dyDescent="0.2">
      <c r="N61" s="65"/>
    </row>
    <row r="62" spans="2:31" x14ac:dyDescent="0.2">
      <c r="N62" s="65"/>
    </row>
    <row r="63" spans="2:31" x14ac:dyDescent="0.2">
      <c r="N63" s="65"/>
    </row>
  </sheetData>
  <printOptions gridLines="1" gridLinesSet="0"/>
  <pageMargins left="1" right="0.5" top="0.5" bottom="0.25" header="1.5" footer="0.5"/>
  <pageSetup scale="94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2BAD-740B-46C6-8770-CDC1CCDAEFC5}">
  <dimension ref="B1:AR60"/>
  <sheetViews>
    <sheetView zoomScaleNormal="100" workbookViewId="0">
      <selection activeCell="B2" sqref="B2:P59"/>
    </sheetView>
  </sheetViews>
  <sheetFormatPr defaultColWidth="13.42578125" defaultRowHeight="12.75" x14ac:dyDescent="0.2"/>
  <cols>
    <col min="1" max="1" width="13.42578125" style="4"/>
    <col min="2" max="3" width="10.28515625" style="4" customWidth="1"/>
    <col min="4" max="4" width="4" style="4" customWidth="1"/>
    <col min="5" max="5" width="10.28515625" style="4" customWidth="1"/>
    <col min="6" max="6" width="4.42578125" style="4" customWidth="1"/>
    <col min="7" max="7" width="10.28515625" style="4" customWidth="1"/>
    <col min="8" max="8" width="4.42578125" style="4" customWidth="1"/>
    <col min="9" max="9" width="10.28515625" style="4" customWidth="1"/>
    <col min="10" max="10" width="4.42578125" style="4" customWidth="1"/>
    <col min="11" max="11" width="10.28515625" style="4" customWidth="1"/>
    <col min="12" max="12" width="4.42578125" style="4" customWidth="1"/>
    <col min="13" max="13" width="10.28515625" style="4" customWidth="1"/>
    <col min="14" max="14" width="4.42578125" style="4" customWidth="1"/>
    <col min="15" max="16" width="10.28515625" style="4" customWidth="1"/>
    <col min="17" max="17" width="5" style="4" customWidth="1"/>
    <col min="18" max="18" width="8.42578125" style="4" customWidth="1"/>
    <col min="19" max="19" width="5" style="4" customWidth="1"/>
    <col min="20" max="20" width="4.140625" style="4" customWidth="1"/>
    <col min="21" max="21" width="8.28515625" style="4" customWidth="1"/>
    <col min="22" max="22" width="4.42578125" style="4" customWidth="1"/>
    <col min="23" max="23" width="9.42578125" style="4" customWidth="1"/>
    <col min="24" max="24" width="4.7109375" style="4" customWidth="1"/>
    <col min="25" max="25" width="7.140625" style="4" bestFit="1" customWidth="1"/>
    <col min="26" max="26" width="4.85546875" style="4" customWidth="1"/>
    <col min="27" max="27" width="8.28515625" style="4" customWidth="1"/>
    <col min="28" max="28" width="4.85546875" style="4" customWidth="1"/>
    <col min="29" max="29" width="7.28515625" style="4" customWidth="1"/>
    <col min="30" max="30" width="8" style="4" bestFit="1" customWidth="1"/>
    <col min="31" max="31" width="7.5703125" style="4" customWidth="1"/>
    <col min="32" max="32" width="4.7109375" style="4" customWidth="1"/>
    <col min="33" max="33" width="7.5703125" style="4" customWidth="1"/>
    <col min="34" max="34" width="4.42578125" style="4" customWidth="1"/>
    <col min="35" max="36" width="8.42578125" style="4" customWidth="1"/>
    <col min="37" max="37" width="11" style="4" customWidth="1"/>
    <col min="38" max="38" width="7.5703125" style="4" customWidth="1"/>
    <col min="39" max="39" width="10.42578125" style="4" customWidth="1"/>
    <col min="40" max="40" width="8.42578125" style="4" customWidth="1"/>
    <col min="41" max="16384" width="13.42578125" style="4"/>
  </cols>
  <sheetData>
    <row r="1" spans="2:44" x14ac:dyDescent="0.2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2:44" x14ac:dyDescent="0.2">
      <c r="B2" s="1"/>
      <c r="C2" s="2"/>
      <c r="D2" s="2"/>
      <c r="E2" s="2"/>
      <c r="F2" s="66" t="s">
        <v>28</v>
      </c>
      <c r="H2" s="66"/>
      <c r="I2" s="2"/>
      <c r="J2" s="66"/>
      <c r="K2" s="2"/>
      <c r="L2" s="66"/>
      <c r="M2" s="2"/>
      <c r="N2" s="66"/>
      <c r="Q2" s="2"/>
      <c r="R2" s="2"/>
      <c r="S2" s="2"/>
      <c r="T2" s="7"/>
      <c r="U2" s="2"/>
      <c r="V2" s="2"/>
      <c r="W2" s="2"/>
      <c r="X2" s="2"/>
      <c r="AA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2:44" x14ac:dyDescent="0.2">
      <c r="B3" s="2"/>
      <c r="C3" s="2"/>
      <c r="D3" s="2"/>
      <c r="E3" s="2"/>
      <c r="F3" s="1" t="s">
        <v>29</v>
      </c>
      <c r="H3" s="1"/>
      <c r="I3" s="2"/>
      <c r="J3" s="1"/>
      <c r="K3" s="2"/>
      <c r="L3" s="1"/>
      <c r="M3" s="2"/>
      <c r="N3" s="1"/>
      <c r="Q3" s="2"/>
      <c r="R3" s="2"/>
      <c r="S3" s="2"/>
      <c r="T3" s="2"/>
      <c r="U3" s="2"/>
      <c r="V3" s="2"/>
      <c r="W3" s="2"/>
      <c r="X3" s="2"/>
      <c r="AA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2:44" x14ac:dyDescent="0.2"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R4" s="9"/>
      <c r="S4" s="1"/>
      <c r="T4" s="67"/>
      <c r="U4" s="10"/>
      <c r="V4" s="67"/>
      <c r="W4" s="67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2:44" x14ac:dyDescent="0.2">
      <c r="B5" s="11"/>
      <c r="C5" s="2"/>
      <c r="D5" s="2"/>
      <c r="E5" s="2"/>
      <c r="F5" s="2"/>
      <c r="G5" s="2"/>
      <c r="H5" s="2"/>
      <c r="I5" s="2"/>
      <c r="J5" s="2"/>
      <c r="K5" s="12" t="s">
        <v>2</v>
      </c>
      <c r="L5" s="2"/>
      <c r="M5" s="2"/>
      <c r="N5" s="2"/>
      <c r="O5" s="12"/>
      <c r="P5" s="2"/>
      <c r="R5" s="11"/>
      <c r="S5" s="2"/>
      <c r="T5" s="2"/>
      <c r="U5" s="2"/>
      <c r="V5" s="2"/>
      <c r="W5" s="2"/>
      <c r="X5" s="2"/>
      <c r="Y5" s="12"/>
      <c r="Z5" s="12"/>
      <c r="AA5" s="12"/>
      <c r="AB5" s="12"/>
      <c r="AC5" s="12"/>
      <c r="AD5" s="2"/>
      <c r="AE5" s="2"/>
      <c r="AF5" s="2"/>
      <c r="AG5" s="2"/>
      <c r="AH5" s="2"/>
      <c r="AI5" s="2"/>
    </row>
    <row r="6" spans="2:44" x14ac:dyDescent="0.2">
      <c r="B6" s="2"/>
      <c r="C6" s="12" t="s">
        <v>3</v>
      </c>
      <c r="D6" s="2"/>
      <c r="E6" s="2"/>
      <c r="F6" s="2"/>
      <c r="G6" s="12" t="s">
        <v>4</v>
      </c>
      <c r="H6" s="2"/>
      <c r="I6" s="14" t="s">
        <v>5</v>
      </c>
      <c r="J6" s="2"/>
      <c r="K6" s="12" t="s">
        <v>6</v>
      </c>
      <c r="L6" s="2"/>
      <c r="M6" s="12" t="s">
        <v>6</v>
      </c>
      <c r="N6" s="2"/>
      <c r="P6" s="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2"/>
      <c r="AF6" s="12"/>
      <c r="AG6" s="12"/>
      <c r="AH6" s="12"/>
      <c r="AI6" s="12"/>
    </row>
    <row r="7" spans="2:44" x14ac:dyDescent="0.2">
      <c r="B7" s="2"/>
      <c r="C7" s="12" t="s">
        <v>7</v>
      </c>
      <c r="D7" s="2"/>
      <c r="E7" s="2"/>
      <c r="F7" s="2"/>
      <c r="G7" s="12" t="s">
        <v>30</v>
      </c>
      <c r="H7" s="2"/>
      <c r="I7" s="12" t="s">
        <v>9</v>
      </c>
      <c r="J7" s="2"/>
      <c r="K7" s="12" t="s">
        <v>31</v>
      </c>
      <c r="L7" s="2"/>
      <c r="M7" s="12" t="s">
        <v>31</v>
      </c>
      <c r="N7" s="2"/>
      <c r="O7" s="12" t="s">
        <v>32</v>
      </c>
      <c r="P7" s="12" t="s">
        <v>12</v>
      </c>
      <c r="Q7" s="2"/>
      <c r="R7" s="2"/>
      <c r="S7" s="12"/>
      <c r="Y7" s="12"/>
      <c r="Z7" s="12"/>
      <c r="AA7" s="12"/>
      <c r="AB7" s="12"/>
      <c r="AC7" s="12"/>
      <c r="AD7" s="12"/>
      <c r="AE7" s="2"/>
      <c r="AF7" s="12"/>
      <c r="AG7" s="12"/>
      <c r="AH7" s="12"/>
      <c r="AI7" s="12"/>
    </row>
    <row r="8" spans="2:44" x14ac:dyDescent="0.2">
      <c r="B8" s="1" t="s">
        <v>13</v>
      </c>
      <c r="C8" s="16" t="s">
        <v>14</v>
      </c>
      <c r="D8" s="17"/>
      <c r="E8" s="16" t="s">
        <v>15</v>
      </c>
      <c r="F8" s="17"/>
      <c r="G8" s="16" t="s">
        <v>16</v>
      </c>
      <c r="H8" s="17"/>
      <c r="I8" s="16" t="s">
        <v>17</v>
      </c>
      <c r="J8" s="17"/>
      <c r="K8" s="16" t="s">
        <v>17</v>
      </c>
      <c r="L8" s="17"/>
      <c r="M8" s="16" t="s">
        <v>17</v>
      </c>
      <c r="N8" s="17"/>
      <c r="O8" s="12" t="s">
        <v>18</v>
      </c>
      <c r="P8" s="16" t="s">
        <v>33</v>
      </c>
      <c r="Q8" s="2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2"/>
      <c r="AF8" s="16"/>
      <c r="AG8" s="16"/>
      <c r="AH8" s="16"/>
      <c r="AI8" s="16"/>
    </row>
    <row r="9" spans="2:44" x14ac:dyDescent="0.2">
      <c r="B9" s="1"/>
      <c r="C9" s="16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2"/>
      <c r="P9" s="16"/>
      <c r="Q9" s="2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2"/>
      <c r="AF9" s="16"/>
      <c r="AG9" s="16"/>
      <c r="AH9" s="16"/>
      <c r="AI9" s="16"/>
    </row>
    <row r="10" spans="2:44" x14ac:dyDescent="0.2">
      <c r="B10" s="2"/>
      <c r="C10" s="2"/>
      <c r="D10" s="2"/>
      <c r="E10" s="2"/>
      <c r="F10" s="2"/>
      <c r="G10" s="2"/>
      <c r="H10" s="2" t="s">
        <v>20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/>
      <c r="AI10" s="2"/>
    </row>
    <row r="11" spans="2:44" x14ac:dyDescent="0.2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2:44" x14ac:dyDescent="0.2">
      <c r="B12" s="19" t="s">
        <v>34</v>
      </c>
      <c r="C12" s="4">
        <v>8469</v>
      </c>
      <c r="E12" s="4">
        <v>9477</v>
      </c>
      <c r="G12" s="68">
        <v>1.1190223166843782</v>
      </c>
      <c r="I12" s="21">
        <v>257.75</v>
      </c>
      <c r="K12" s="35">
        <v>33673</v>
      </c>
      <c r="M12" s="21">
        <v>275.75</v>
      </c>
      <c r="O12" s="20">
        <v>1.069835111542192</v>
      </c>
      <c r="P12" s="21">
        <f t="shared" ref="P12:P29" si="0">O12*I$39</f>
        <v>490.51939864209504</v>
      </c>
      <c r="Q12" s="1"/>
      <c r="R12" s="1"/>
      <c r="S12" s="25"/>
      <c r="T12" s="25"/>
      <c r="U12" s="25"/>
      <c r="V12" s="2"/>
      <c r="W12" s="26"/>
      <c r="X12" s="2"/>
      <c r="Y12" s="27"/>
      <c r="Z12" s="2"/>
      <c r="AA12" s="28"/>
      <c r="AB12" s="2"/>
      <c r="AC12" s="26"/>
      <c r="AD12" s="28"/>
    </row>
    <row r="13" spans="2:44" x14ac:dyDescent="0.2">
      <c r="B13" s="29">
        <v>2004</v>
      </c>
      <c r="C13" s="30">
        <v>10661</v>
      </c>
      <c r="D13" s="29"/>
      <c r="E13" s="30">
        <v>11806</v>
      </c>
      <c r="F13" s="29"/>
      <c r="G13" s="69">
        <v>1.107502673295188</v>
      </c>
      <c r="H13" s="29"/>
      <c r="I13" s="32">
        <v>253.5</v>
      </c>
      <c r="J13" s="29"/>
      <c r="K13" s="37">
        <v>38085</v>
      </c>
      <c r="L13" s="29"/>
      <c r="M13" s="32">
        <v>341.5</v>
      </c>
      <c r="N13" s="29"/>
      <c r="O13" s="31">
        <v>1.3471400394477318</v>
      </c>
      <c r="P13" s="32">
        <f t="shared" si="0"/>
        <v>617.66370808678505</v>
      </c>
      <c r="Q13" s="2"/>
      <c r="R13" s="1"/>
      <c r="S13" s="25"/>
      <c r="T13" s="25"/>
      <c r="U13" s="25"/>
      <c r="V13" s="25"/>
      <c r="W13" s="26"/>
      <c r="X13" s="2"/>
      <c r="Y13" s="27"/>
      <c r="Z13" s="34"/>
      <c r="AA13" s="28"/>
      <c r="AB13" s="28"/>
      <c r="AC13" s="26"/>
      <c r="AD13" s="28"/>
    </row>
    <row r="14" spans="2:44" x14ac:dyDescent="0.2">
      <c r="B14" s="19">
        <v>1994</v>
      </c>
      <c r="C14" s="4">
        <v>9352</v>
      </c>
      <c r="E14" s="4">
        <v>10051</v>
      </c>
      <c r="G14" s="68">
        <v>1.074743370402053</v>
      </c>
      <c r="I14" s="21">
        <v>270.25</v>
      </c>
      <c r="K14" s="35">
        <v>34502</v>
      </c>
      <c r="M14" s="21">
        <v>277</v>
      </c>
      <c r="O14" s="20">
        <v>1.0249768732654949</v>
      </c>
      <c r="P14" s="21">
        <f t="shared" si="0"/>
        <v>469.9518963922294</v>
      </c>
      <c r="Q14" s="2"/>
      <c r="R14" s="1"/>
      <c r="S14" s="25"/>
      <c r="T14" s="25"/>
      <c r="U14" s="25"/>
      <c r="V14" s="25"/>
      <c r="W14" s="26"/>
      <c r="X14" s="2"/>
      <c r="Y14" s="27"/>
      <c r="Z14" s="27"/>
      <c r="AA14" s="28"/>
      <c r="AB14" s="28"/>
      <c r="AC14" s="26"/>
      <c r="AD14" s="28"/>
    </row>
    <row r="15" spans="2:44" s="5" customFormat="1" x14ac:dyDescent="0.2">
      <c r="B15" s="29">
        <v>1996</v>
      </c>
      <c r="C15" s="30">
        <v>8789</v>
      </c>
      <c r="D15" s="29"/>
      <c r="E15" s="30">
        <v>9233</v>
      </c>
      <c r="F15" s="29"/>
      <c r="G15" s="69">
        <v>1.0505176925702582</v>
      </c>
      <c r="H15" s="29"/>
      <c r="I15" s="32">
        <v>297.25</v>
      </c>
      <c r="J15" s="29"/>
      <c r="K15" s="37">
        <v>35258</v>
      </c>
      <c r="L15" s="29"/>
      <c r="M15" s="32">
        <v>389</v>
      </c>
      <c r="N15" s="29"/>
      <c r="O15" s="31">
        <v>1.3086627417998318</v>
      </c>
      <c r="P15" s="32">
        <f t="shared" si="0"/>
        <v>600.0218671152229</v>
      </c>
      <c r="Q15" s="41"/>
      <c r="R15" s="41"/>
      <c r="S15" s="43"/>
      <c r="T15" s="43"/>
      <c r="U15" s="43"/>
      <c r="V15" s="41"/>
      <c r="W15" s="44"/>
      <c r="X15" s="41"/>
      <c r="Y15" s="64"/>
      <c r="Z15" s="46"/>
      <c r="AA15" s="46"/>
      <c r="AB15" s="46"/>
      <c r="AC15" s="44"/>
      <c r="AD15" s="46"/>
    </row>
    <row r="16" spans="2:44" x14ac:dyDescent="0.2">
      <c r="B16" s="19">
        <v>1998</v>
      </c>
      <c r="C16" s="4">
        <v>9299</v>
      </c>
      <c r="E16" s="4">
        <v>9759</v>
      </c>
      <c r="G16" s="68">
        <v>1.0494338100871061</v>
      </c>
      <c r="I16" s="21">
        <v>279.75</v>
      </c>
      <c r="K16" s="35">
        <v>35866</v>
      </c>
      <c r="M16" s="21">
        <v>290</v>
      </c>
      <c r="O16" s="20">
        <v>1.0366398570151922</v>
      </c>
      <c r="P16" s="21">
        <f t="shared" si="0"/>
        <v>475.29937444146566</v>
      </c>
      <c r="R16" s="1"/>
      <c r="S16" s="25"/>
      <c r="T16" s="25"/>
      <c r="U16" s="25"/>
      <c r="V16" s="2"/>
      <c r="W16" s="26"/>
      <c r="X16" s="2"/>
      <c r="Y16" s="27"/>
      <c r="Z16" s="2"/>
      <c r="AA16" s="28"/>
      <c r="AB16" s="2"/>
      <c r="AC16" s="26"/>
      <c r="AD16" s="28"/>
    </row>
    <row r="17" spans="2:30" x14ac:dyDescent="0.2">
      <c r="B17" s="29">
        <v>1997</v>
      </c>
      <c r="C17" s="30">
        <v>8792</v>
      </c>
      <c r="D17" s="29"/>
      <c r="E17" s="30">
        <v>9207</v>
      </c>
      <c r="F17" s="29"/>
      <c r="G17" s="69">
        <v>1.0472020018198362</v>
      </c>
      <c r="H17" s="29"/>
      <c r="I17" s="32">
        <v>257.75</v>
      </c>
      <c r="J17" s="29"/>
      <c r="K17" s="37">
        <v>35521</v>
      </c>
      <c r="L17" s="29"/>
      <c r="M17" s="32">
        <v>298</v>
      </c>
      <c r="N17" s="29"/>
      <c r="O17" s="31">
        <v>1.1561590688651795</v>
      </c>
      <c r="P17" s="32">
        <f t="shared" si="0"/>
        <v>530.09893307468485</v>
      </c>
      <c r="Q17" s="2"/>
      <c r="R17" s="1"/>
      <c r="S17" s="25"/>
      <c r="T17" s="25"/>
      <c r="U17" s="25"/>
      <c r="V17" s="2"/>
      <c r="W17" s="26"/>
      <c r="X17" s="2"/>
      <c r="Y17" s="27"/>
      <c r="Z17" s="28"/>
      <c r="AA17" s="28"/>
      <c r="AB17" s="28"/>
      <c r="AC17" s="26"/>
      <c r="AD17" s="28"/>
    </row>
    <row r="18" spans="2:30" x14ac:dyDescent="0.2">
      <c r="B18" s="19">
        <v>2025</v>
      </c>
      <c r="C18" s="4">
        <v>16470</v>
      </c>
      <c r="E18" s="4">
        <v>17021</v>
      </c>
      <c r="G18" s="68">
        <f>E18/C18</f>
        <v>1.0334547662416516</v>
      </c>
      <c r="I18" s="21">
        <v>446.5</v>
      </c>
      <c r="K18" s="35">
        <v>45707</v>
      </c>
      <c r="M18" s="21">
        <v>479.75</v>
      </c>
      <c r="O18" s="20">
        <f>M18/I18</f>
        <v>1.074468085106383</v>
      </c>
      <c r="P18" s="21">
        <f t="shared" si="0"/>
        <v>492.64361702127661</v>
      </c>
      <c r="Q18" s="2"/>
      <c r="R18" s="1"/>
      <c r="S18" s="25"/>
      <c r="T18" s="25"/>
      <c r="U18" s="25"/>
      <c r="V18" s="2"/>
      <c r="W18" s="26"/>
      <c r="X18" s="2"/>
      <c r="Y18" s="27"/>
      <c r="Z18" s="2"/>
      <c r="AA18" s="28"/>
      <c r="AB18" s="28"/>
      <c r="AC18" s="26"/>
      <c r="AD18" s="28"/>
    </row>
    <row r="19" spans="2:30" x14ac:dyDescent="0.2">
      <c r="B19" s="29">
        <v>2016</v>
      </c>
      <c r="C19" s="30">
        <v>14649</v>
      </c>
      <c r="D19" s="29"/>
      <c r="E19" s="30">
        <v>15148.038</v>
      </c>
      <c r="F19" s="29"/>
      <c r="G19" s="69">
        <v>1.0340663526520582</v>
      </c>
      <c r="H19" s="29"/>
      <c r="I19" s="32">
        <v>376.25</v>
      </c>
      <c r="J19" s="29"/>
      <c r="K19" s="37">
        <v>42538</v>
      </c>
      <c r="L19" s="29"/>
      <c r="M19" s="32">
        <v>449</v>
      </c>
      <c r="N19" s="29"/>
      <c r="O19" s="31">
        <v>1.1933554817275747</v>
      </c>
      <c r="P19" s="32">
        <f t="shared" si="0"/>
        <v>547.15348837209297</v>
      </c>
      <c r="Q19" s="2"/>
      <c r="R19" s="1"/>
      <c r="S19" s="25"/>
      <c r="T19" s="25"/>
      <c r="U19" s="25"/>
      <c r="V19" s="25"/>
      <c r="W19" s="26"/>
      <c r="X19" s="2"/>
      <c r="Y19" s="27"/>
      <c r="Z19" s="27"/>
      <c r="AA19" s="28"/>
      <c r="AB19" s="28"/>
      <c r="AC19" s="26"/>
      <c r="AD19" s="28"/>
    </row>
    <row r="20" spans="2:30" x14ac:dyDescent="0.2">
      <c r="B20" s="19">
        <v>2014</v>
      </c>
      <c r="C20" s="40">
        <v>13748.845015120145</v>
      </c>
      <c r="D20" s="19"/>
      <c r="E20" s="40">
        <v>14215.531999999999</v>
      </c>
      <c r="F20" s="19"/>
      <c r="G20" s="68">
        <v>1.0339437228630202</v>
      </c>
      <c r="H20" s="19"/>
      <c r="I20" s="21">
        <v>448.25</v>
      </c>
      <c r="J20" s="19"/>
      <c r="K20" s="35">
        <v>41768</v>
      </c>
      <c r="L20" s="19"/>
      <c r="M20" s="21">
        <v>514.75</v>
      </c>
      <c r="N20" s="19"/>
      <c r="O20" s="20">
        <v>1.1483547127718907</v>
      </c>
      <c r="P20" s="21">
        <f t="shared" si="0"/>
        <v>526.52063580591187</v>
      </c>
      <c r="Q20" s="2"/>
      <c r="R20" s="1"/>
      <c r="S20" s="25"/>
      <c r="T20" s="25"/>
      <c r="U20" s="25"/>
      <c r="V20" s="25"/>
      <c r="W20" s="26"/>
      <c r="X20" s="2"/>
      <c r="Y20" s="27"/>
      <c r="Z20" s="27"/>
      <c r="AA20" s="28"/>
      <c r="AB20" s="28"/>
      <c r="AC20" s="26"/>
      <c r="AD20" s="28"/>
    </row>
    <row r="21" spans="2:30" x14ac:dyDescent="0.2">
      <c r="B21" s="29">
        <v>2013</v>
      </c>
      <c r="C21" s="30">
        <v>13453.856777088407</v>
      </c>
      <c r="D21" s="29"/>
      <c r="E21" s="30">
        <v>13828.964</v>
      </c>
      <c r="F21" s="29"/>
      <c r="G21" s="69">
        <v>1.0278810179955529</v>
      </c>
      <c r="H21" s="29"/>
      <c r="I21" s="32">
        <v>592.25</v>
      </c>
      <c r="J21" s="29"/>
      <c r="K21" s="37">
        <v>41276</v>
      </c>
      <c r="L21" s="29"/>
      <c r="M21" s="32">
        <v>605</v>
      </c>
      <c r="N21" s="29"/>
      <c r="O21" s="31">
        <v>1.0215280709159984</v>
      </c>
      <c r="P21" s="32">
        <f t="shared" si="0"/>
        <v>468.37062051498526</v>
      </c>
      <c r="Q21" s="2"/>
      <c r="R21" s="1"/>
      <c r="S21" s="25"/>
      <c r="T21" s="25"/>
      <c r="U21" s="25"/>
      <c r="V21" s="25"/>
      <c r="W21" s="26"/>
      <c r="X21" s="2"/>
      <c r="Y21" s="27"/>
      <c r="Z21" s="34"/>
      <c r="AA21" s="28"/>
      <c r="AB21" s="28"/>
      <c r="AC21" s="26"/>
      <c r="AD21" s="28"/>
    </row>
    <row r="22" spans="2:30" x14ac:dyDescent="0.2">
      <c r="B22" s="19">
        <v>2023</v>
      </c>
      <c r="C22" s="40">
        <v>14966</v>
      </c>
      <c r="E22" s="40">
        <v>15341</v>
      </c>
      <c r="G22" s="68">
        <v>1.0250567954029133</v>
      </c>
      <c r="I22" s="21">
        <v>606.75</v>
      </c>
      <c r="K22" s="35">
        <v>45098</v>
      </c>
      <c r="M22" s="21">
        <v>629.75</v>
      </c>
      <c r="O22" s="20">
        <v>1.0379068809229501</v>
      </c>
      <c r="P22" s="21">
        <f t="shared" si="0"/>
        <v>475.88030490317266</v>
      </c>
      <c r="Q22" s="2"/>
      <c r="R22" s="1"/>
      <c r="S22" s="25"/>
      <c r="T22" s="25"/>
      <c r="U22" s="25"/>
      <c r="V22" s="25"/>
      <c r="W22" s="26"/>
      <c r="X22" s="2"/>
      <c r="Y22" s="27"/>
      <c r="Z22" s="34"/>
      <c r="AA22" s="28"/>
      <c r="AB22" s="28"/>
      <c r="AC22" s="26"/>
      <c r="AD22" s="28"/>
    </row>
    <row r="23" spans="2:30" x14ac:dyDescent="0.2">
      <c r="B23" s="29">
        <v>2007</v>
      </c>
      <c r="C23" s="30">
        <v>12737.725198699707</v>
      </c>
      <c r="D23" s="29"/>
      <c r="E23" s="30">
        <v>13037.875</v>
      </c>
      <c r="F23" s="29"/>
      <c r="G23" s="69">
        <v>1.0235638464967773</v>
      </c>
      <c r="H23" s="29"/>
      <c r="I23" s="32">
        <v>362</v>
      </c>
      <c r="J23" s="29"/>
      <c r="K23" s="37">
        <v>39251</v>
      </c>
      <c r="L23" s="29"/>
      <c r="M23" s="32">
        <v>431</v>
      </c>
      <c r="N23" s="29"/>
      <c r="O23" s="31">
        <v>1.1906077348066297</v>
      </c>
      <c r="P23" s="32">
        <f t="shared" si="0"/>
        <v>545.89364640883969</v>
      </c>
      <c r="Q23" s="2"/>
      <c r="R23" s="1"/>
      <c r="S23" s="25"/>
      <c r="T23" s="25"/>
      <c r="U23" s="25"/>
      <c r="V23" s="25"/>
      <c r="W23" s="26"/>
      <c r="X23" s="2"/>
      <c r="Y23" s="27"/>
      <c r="Z23" s="27"/>
      <c r="AA23" s="28"/>
      <c r="AB23" s="28"/>
      <c r="AC23" s="26"/>
      <c r="AD23" s="28"/>
    </row>
    <row r="24" spans="2:30" x14ac:dyDescent="0.2">
      <c r="B24" s="19" t="s">
        <v>21</v>
      </c>
      <c r="C24" s="40">
        <v>7761</v>
      </c>
      <c r="E24" s="40">
        <v>7935</v>
      </c>
      <c r="G24" s="68">
        <v>1.0224197912640123</v>
      </c>
      <c r="I24" s="21">
        <v>245.5</v>
      </c>
      <c r="K24" s="35" t="s">
        <v>35</v>
      </c>
      <c r="M24" s="21">
        <v>296.5</v>
      </c>
      <c r="O24" s="20">
        <v>1.2077393075356415</v>
      </c>
      <c r="P24" s="21">
        <f t="shared" si="0"/>
        <v>553.74847250509163</v>
      </c>
      <c r="Q24" s="2"/>
      <c r="R24" s="1"/>
      <c r="S24" s="25"/>
      <c r="T24" s="25"/>
      <c r="U24" s="25"/>
      <c r="V24" s="25"/>
      <c r="W24" s="26"/>
      <c r="X24" s="2"/>
      <c r="Y24" s="27"/>
      <c r="Z24" s="27"/>
      <c r="AA24" s="28"/>
      <c r="AB24" s="28"/>
      <c r="AC24" s="26"/>
      <c r="AD24" s="28"/>
    </row>
    <row r="25" spans="2:30" x14ac:dyDescent="0.2">
      <c r="B25" s="29">
        <v>2000</v>
      </c>
      <c r="C25" s="30">
        <v>9741</v>
      </c>
      <c r="D25" s="29"/>
      <c r="E25" s="30">
        <v>9915.0509999999995</v>
      </c>
      <c r="F25" s="29"/>
      <c r="G25" s="69">
        <v>1.0178678780412689</v>
      </c>
      <c r="H25" s="29"/>
      <c r="I25" s="32">
        <v>231.5</v>
      </c>
      <c r="J25" s="29"/>
      <c r="K25" s="37">
        <v>36649</v>
      </c>
      <c r="L25" s="29"/>
      <c r="M25" s="32">
        <v>273.25</v>
      </c>
      <c r="N25" s="29"/>
      <c r="O25" s="31">
        <v>1.1803455723542116</v>
      </c>
      <c r="P25" s="32">
        <f t="shared" si="0"/>
        <v>541.18844492440599</v>
      </c>
      <c r="Q25" s="2"/>
      <c r="R25" s="1"/>
      <c r="S25" s="25"/>
      <c r="T25" s="25"/>
      <c r="U25" s="25"/>
      <c r="V25" s="25"/>
      <c r="W25" s="26"/>
      <c r="X25" s="2"/>
      <c r="Y25" s="27"/>
      <c r="Z25" s="27"/>
      <c r="AA25" s="28"/>
      <c r="AB25" s="28"/>
      <c r="AC25" s="26"/>
      <c r="AD25" s="28"/>
    </row>
    <row r="26" spans="2:30" x14ac:dyDescent="0.2">
      <c r="B26" s="19">
        <v>2021</v>
      </c>
      <c r="C26" s="4">
        <v>14900</v>
      </c>
      <c r="E26" s="40">
        <v>15018</v>
      </c>
      <c r="G26" s="68">
        <v>1.0079194630872483</v>
      </c>
      <c r="I26" s="21">
        <v>434.5</v>
      </c>
      <c r="K26" s="35">
        <v>44323</v>
      </c>
      <c r="M26" s="21">
        <v>638</v>
      </c>
      <c r="O26" s="20">
        <v>1.4683544303797469</v>
      </c>
      <c r="P26" s="21">
        <f t="shared" si="0"/>
        <v>673.24050632911394</v>
      </c>
      <c r="Q26" s="41"/>
      <c r="R26" s="41"/>
      <c r="S26" s="43"/>
      <c r="T26" s="43"/>
      <c r="U26" s="43"/>
      <c r="V26" s="41"/>
      <c r="W26" s="44"/>
      <c r="X26" s="41"/>
      <c r="Y26" s="64"/>
      <c r="Z26" s="46"/>
      <c r="AA26" s="46"/>
      <c r="AB26" s="46"/>
      <c r="AC26" s="44"/>
      <c r="AD26" s="46"/>
    </row>
    <row r="27" spans="2:30" x14ac:dyDescent="0.2">
      <c r="B27" s="29">
        <v>2018</v>
      </c>
      <c r="C27" s="30">
        <v>14253</v>
      </c>
      <c r="D27" s="29"/>
      <c r="E27" s="30">
        <v>14322</v>
      </c>
      <c r="F27" s="29"/>
      <c r="G27" s="69">
        <v>1.0048410860871395</v>
      </c>
      <c r="H27" s="29"/>
      <c r="I27" s="32">
        <v>386.5</v>
      </c>
      <c r="J27" s="29"/>
      <c r="K27" s="37">
        <v>43244</v>
      </c>
      <c r="L27" s="29"/>
      <c r="M27" s="32">
        <v>429.5</v>
      </c>
      <c r="N27" s="29"/>
      <c r="O27" s="31">
        <v>1.1112548512289779</v>
      </c>
      <c r="P27" s="32">
        <f t="shared" si="0"/>
        <v>509.5103492884864</v>
      </c>
    </row>
    <row r="28" spans="2:30" x14ac:dyDescent="0.2">
      <c r="B28" s="19">
        <v>2008</v>
      </c>
      <c r="C28" s="4">
        <v>12057</v>
      </c>
      <c r="E28" s="4">
        <v>12092</v>
      </c>
      <c r="G28" s="68">
        <v>1.0028909982157059</v>
      </c>
      <c r="I28" s="21">
        <v>480.25</v>
      </c>
      <c r="K28" s="35">
        <v>39626</v>
      </c>
      <c r="M28" s="21">
        <v>796</v>
      </c>
      <c r="O28" s="20">
        <v>1.6574700676730869</v>
      </c>
      <c r="P28" s="21">
        <f t="shared" si="0"/>
        <v>759.9500260281103</v>
      </c>
      <c r="R28" s="1"/>
      <c r="S28" s="25"/>
      <c r="T28" s="25"/>
      <c r="U28" s="25"/>
      <c r="V28" s="2"/>
      <c r="W28" s="26"/>
      <c r="X28" s="2"/>
      <c r="Y28" s="27"/>
      <c r="Z28" s="28"/>
      <c r="AA28" s="28"/>
      <c r="AB28" s="28"/>
      <c r="AC28" s="62"/>
      <c r="AD28" s="63"/>
    </row>
    <row r="29" spans="2:30" x14ac:dyDescent="0.2">
      <c r="B29" s="29">
        <v>2009</v>
      </c>
      <c r="C29" s="30">
        <v>13067.582590816157</v>
      </c>
      <c r="D29" s="29"/>
      <c r="E29" s="30">
        <v>13091.861999999999</v>
      </c>
      <c r="F29" s="29"/>
      <c r="G29" s="69">
        <v>1.0018579878118319</v>
      </c>
      <c r="H29" s="29"/>
      <c r="I29" s="32">
        <v>456.25</v>
      </c>
      <c r="J29" s="29"/>
      <c r="K29" s="37">
        <v>39966</v>
      </c>
      <c r="L29" s="29"/>
      <c r="M29" s="32">
        <v>473.5</v>
      </c>
      <c r="N29" s="29"/>
      <c r="O29" s="31">
        <v>1.0378082191780822</v>
      </c>
      <c r="P29" s="32">
        <f t="shared" si="0"/>
        <v>475.83506849315069</v>
      </c>
      <c r="Q29" s="2"/>
      <c r="R29" s="1"/>
      <c r="S29" s="25"/>
      <c r="T29" s="25"/>
      <c r="U29" s="25"/>
      <c r="V29" s="25"/>
      <c r="W29" s="26"/>
      <c r="X29" s="2"/>
      <c r="Y29" s="27"/>
      <c r="Z29" s="27"/>
      <c r="AA29" s="28"/>
      <c r="AB29" s="28"/>
      <c r="AC29" s="26"/>
      <c r="AD29" s="28"/>
    </row>
    <row r="30" spans="2:30" x14ac:dyDescent="0.2">
      <c r="B30" s="19"/>
      <c r="G30" s="68"/>
      <c r="I30" s="21"/>
      <c r="K30" s="35"/>
      <c r="M30" s="21"/>
      <c r="O30" s="20"/>
      <c r="P30" s="21"/>
      <c r="Q30" s="2"/>
      <c r="R30" s="1"/>
      <c r="S30" s="25"/>
      <c r="T30" s="25"/>
      <c r="U30" s="25"/>
      <c r="V30" s="2"/>
      <c r="W30" s="26"/>
      <c r="X30" s="2"/>
      <c r="Y30" s="27"/>
      <c r="Z30" s="2"/>
      <c r="AA30" s="28"/>
      <c r="AB30" s="28"/>
      <c r="AC30" s="26"/>
      <c r="AD30" s="28"/>
    </row>
    <row r="31" spans="2:30" x14ac:dyDescent="0.2">
      <c r="B31" s="19"/>
    </row>
    <row r="32" spans="2:30" x14ac:dyDescent="0.2">
      <c r="B32" s="19"/>
      <c r="C32" s="40"/>
      <c r="D32" s="19"/>
      <c r="E32" s="40"/>
      <c r="F32" s="19"/>
      <c r="G32" s="68"/>
      <c r="H32" s="19"/>
      <c r="I32" s="21"/>
      <c r="J32" s="19"/>
      <c r="K32" s="35"/>
      <c r="L32" s="19"/>
      <c r="M32" s="21"/>
      <c r="N32" s="19"/>
      <c r="O32" s="20"/>
      <c r="P32" s="21"/>
      <c r="Q32" s="2"/>
      <c r="R32" s="1"/>
      <c r="S32" s="25"/>
      <c r="T32" s="25"/>
      <c r="U32" s="25"/>
      <c r="V32" s="25"/>
      <c r="W32" s="26"/>
      <c r="X32" s="2"/>
      <c r="Y32" s="27"/>
      <c r="Z32" s="27"/>
      <c r="AA32" s="28"/>
      <c r="AB32" s="28"/>
      <c r="AC32" s="26"/>
      <c r="AD32" s="28"/>
    </row>
    <row r="33" spans="2:30" x14ac:dyDescent="0.2">
      <c r="B33" s="5" t="s">
        <v>22</v>
      </c>
      <c r="C33" s="5"/>
      <c r="D33" s="5"/>
      <c r="E33" s="5"/>
      <c r="F33" s="5"/>
      <c r="G33" s="70">
        <f>MEDIAN(G12:G29)</f>
        <v>1.0306678921186023</v>
      </c>
      <c r="H33" s="5"/>
      <c r="I33" s="5"/>
      <c r="J33" s="5"/>
      <c r="K33" s="50"/>
      <c r="L33" s="5"/>
      <c r="M33" s="51">
        <f>MEDIAN(M12:M29)</f>
        <v>430.25</v>
      </c>
      <c r="N33" s="5"/>
      <c r="O33" s="49">
        <f>MEDIAN(O12:O29)</f>
        <v>1.1522568908185351</v>
      </c>
      <c r="P33" s="51">
        <f>MEDIAN(P12:P29)</f>
        <v>528.30978444029836</v>
      </c>
      <c r="Q33" s="2"/>
      <c r="R33" s="1"/>
      <c r="S33" s="25"/>
      <c r="T33" s="25"/>
      <c r="U33" s="25"/>
      <c r="V33" s="25"/>
      <c r="W33" s="26"/>
      <c r="X33" s="2"/>
      <c r="Y33" s="27"/>
      <c r="Z33" s="34"/>
      <c r="AA33" s="28"/>
      <c r="AB33" s="28"/>
      <c r="AC33" s="26"/>
      <c r="AD33" s="28"/>
    </row>
    <row r="34" spans="2:30" x14ac:dyDescent="0.2">
      <c r="B34" s="1"/>
      <c r="C34" s="25"/>
      <c r="D34" s="53"/>
      <c r="E34" s="25"/>
      <c r="F34" s="1"/>
      <c r="G34" s="26"/>
      <c r="H34" s="1"/>
      <c r="I34" s="28"/>
      <c r="J34" s="1"/>
      <c r="K34" s="27"/>
      <c r="L34" s="1"/>
      <c r="M34" s="28"/>
      <c r="N34" s="1"/>
      <c r="O34" s="25"/>
      <c r="P34" s="21"/>
      <c r="Q34" s="2"/>
      <c r="R34" s="1"/>
      <c r="S34" s="25"/>
      <c r="T34" s="25"/>
      <c r="U34" s="25"/>
      <c r="V34" s="25"/>
      <c r="W34" s="26"/>
      <c r="X34" s="2"/>
      <c r="Y34" s="27"/>
      <c r="Z34" s="27"/>
      <c r="AA34" s="28"/>
      <c r="AB34" s="28"/>
      <c r="AC34" s="26"/>
      <c r="AD34" s="28"/>
    </row>
    <row r="35" spans="2:30" x14ac:dyDescent="0.2">
      <c r="B35" s="1"/>
      <c r="C35" s="25"/>
      <c r="D35" s="53"/>
      <c r="E35" s="25"/>
      <c r="F35" s="1"/>
      <c r="G35" s="26"/>
      <c r="H35" s="1" t="s">
        <v>36</v>
      </c>
      <c r="J35" s="1"/>
      <c r="K35" s="27"/>
      <c r="L35" s="1"/>
      <c r="M35" s="28"/>
      <c r="N35" s="1"/>
      <c r="O35" s="25"/>
      <c r="P35" s="21"/>
      <c r="Q35" s="2"/>
      <c r="R35" s="1"/>
      <c r="S35" s="25"/>
      <c r="T35" s="25"/>
      <c r="U35" s="25"/>
      <c r="V35" s="25"/>
      <c r="W35" s="26"/>
      <c r="X35" s="2"/>
      <c r="Y35" s="27"/>
      <c r="Z35" s="34"/>
      <c r="AA35" s="28"/>
      <c r="AB35" s="28"/>
      <c r="AC35" s="26"/>
      <c r="AD35" s="28"/>
    </row>
    <row r="36" spans="2:30" x14ac:dyDescent="0.2">
      <c r="B36" s="1"/>
      <c r="C36" s="25"/>
      <c r="D36" s="53"/>
      <c r="E36" s="25"/>
      <c r="F36" s="1"/>
      <c r="G36" s="26"/>
      <c r="H36" s="1"/>
      <c r="I36" s="28"/>
      <c r="J36" s="1"/>
      <c r="K36" s="27"/>
      <c r="L36" s="1"/>
      <c r="M36" s="28"/>
      <c r="N36" s="1"/>
      <c r="O36" s="25"/>
      <c r="P36" s="21"/>
      <c r="Q36" s="2"/>
      <c r="R36" s="1"/>
      <c r="S36" s="25"/>
      <c r="T36" s="25"/>
      <c r="U36" s="25"/>
      <c r="V36" s="25"/>
      <c r="W36" s="26"/>
      <c r="X36" s="2"/>
      <c r="Y36" s="27"/>
      <c r="Z36" s="28"/>
      <c r="AA36" s="28"/>
      <c r="AB36" s="28"/>
      <c r="AC36" s="26"/>
      <c r="AD36" s="28"/>
    </row>
    <row r="39" spans="2:30" x14ac:dyDescent="0.2">
      <c r="B39" s="55">
        <v>2026</v>
      </c>
      <c r="C39" s="56">
        <v>16120</v>
      </c>
      <c r="D39" s="61"/>
      <c r="E39" s="56">
        <v>16109</v>
      </c>
      <c r="F39" s="57"/>
      <c r="G39" s="71">
        <v>1</v>
      </c>
      <c r="H39" s="57"/>
      <c r="I39" s="59">
        <v>458.5</v>
      </c>
      <c r="J39" s="57"/>
      <c r="K39" s="60"/>
      <c r="L39" s="57"/>
      <c r="M39" s="59">
        <v>525</v>
      </c>
      <c r="N39" s="57" t="s">
        <v>24</v>
      </c>
      <c r="O39" s="58">
        <v>1.1450400000000001</v>
      </c>
      <c r="P39" s="59">
        <f t="shared" ref="P39:P57" si="1">O39*I$39</f>
        <v>525.00084000000004</v>
      </c>
      <c r="Q39" s="2"/>
      <c r="R39" s="1"/>
      <c r="S39" s="25"/>
      <c r="T39" s="25"/>
      <c r="U39" s="25"/>
      <c r="V39" s="2"/>
      <c r="W39" s="26"/>
      <c r="X39" s="2"/>
      <c r="Y39" s="27"/>
      <c r="Z39" s="28"/>
      <c r="AA39" s="28"/>
      <c r="AB39" s="28"/>
      <c r="AC39" s="62"/>
      <c r="AD39" s="63"/>
    </row>
    <row r="40" spans="2:30" x14ac:dyDescent="0.2">
      <c r="B40" s="19">
        <v>2022</v>
      </c>
      <c r="C40" s="40">
        <v>13706</v>
      </c>
      <c r="D40" s="24"/>
      <c r="E40" s="40">
        <v>13651</v>
      </c>
      <c r="G40" s="68">
        <v>0.9959871589085072</v>
      </c>
      <c r="I40" s="21">
        <v>547.5</v>
      </c>
      <c r="K40" s="35">
        <v>44697</v>
      </c>
      <c r="M40" s="21">
        <v>766.25</v>
      </c>
      <c r="O40" s="20">
        <v>1.3995433789954337</v>
      </c>
      <c r="P40" s="21">
        <f t="shared" si="1"/>
        <v>641.69063926940635</v>
      </c>
      <c r="Q40" s="2"/>
      <c r="R40" s="1"/>
      <c r="S40" s="25"/>
      <c r="T40" s="25"/>
      <c r="U40" s="25"/>
      <c r="V40" s="25"/>
      <c r="W40" s="26"/>
      <c r="X40" s="2"/>
      <c r="Y40" s="27"/>
      <c r="Z40" s="34"/>
      <c r="AA40" s="28"/>
      <c r="AB40" s="28"/>
      <c r="AC40" s="26"/>
      <c r="AD40" s="28"/>
    </row>
    <row r="41" spans="2:30" x14ac:dyDescent="0.2">
      <c r="B41" s="29">
        <v>2015</v>
      </c>
      <c r="C41" s="30">
        <v>13663.716000117587</v>
      </c>
      <c r="D41" s="29"/>
      <c r="E41" s="30">
        <v>13601.964</v>
      </c>
      <c r="F41" s="29"/>
      <c r="G41" s="69">
        <v>0.99548058521436955</v>
      </c>
      <c r="H41" s="29"/>
      <c r="I41" s="32">
        <v>419.5</v>
      </c>
      <c r="J41" s="29"/>
      <c r="K41" s="37">
        <v>42199</v>
      </c>
      <c r="L41" s="29"/>
      <c r="M41" s="32">
        <v>454.25</v>
      </c>
      <c r="N41" s="29"/>
      <c r="O41" s="31">
        <v>1.0828367103694876</v>
      </c>
      <c r="P41" s="32">
        <f t="shared" si="1"/>
        <v>496.48063170441009</v>
      </c>
      <c r="Q41" s="2"/>
      <c r="R41" s="1"/>
      <c r="S41" s="25"/>
      <c r="T41" s="25"/>
      <c r="U41" s="25"/>
      <c r="V41" s="2"/>
      <c r="W41" s="26"/>
      <c r="X41" s="2"/>
      <c r="Y41" s="27"/>
      <c r="Z41" s="28"/>
      <c r="AA41" s="28"/>
      <c r="AB41" s="28"/>
      <c r="AC41" s="62"/>
      <c r="AD41" s="63"/>
    </row>
    <row r="42" spans="2:30" x14ac:dyDescent="0.2">
      <c r="B42" s="19">
        <v>1999</v>
      </c>
      <c r="C42" s="40">
        <v>9514</v>
      </c>
      <c r="D42" s="24"/>
      <c r="E42" s="40">
        <v>9430.6119999999992</v>
      </c>
      <c r="G42" s="68">
        <v>0.99123523228925781</v>
      </c>
      <c r="I42" s="21">
        <v>240.75</v>
      </c>
      <c r="K42" s="35">
        <v>36249</v>
      </c>
      <c r="M42" s="21">
        <v>251</v>
      </c>
      <c r="O42" s="20">
        <v>1.0425752855659398</v>
      </c>
      <c r="P42" s="21">
        <f t="shared" si="1"/>
        <v>478.02076843198341</v>
      </c>
      <c r="Q42" s="2"/>
      <c r="R42" s="1"/>
      <c r="S42" s="25"/>
      <c r="T42" s="25"/>
      <c r="U42" s="25"/>
      <c r="V42" s="2"/>
      <c r="W42" s="26"/>
      <c r="X42" s="2"/>
      <c r="Y42" s="27"/>
      <c r="Z42" s="28"/>
      <c r="AA42" s="28"/>
      <c r="AB42" s="28"/>
      <c r="AC42" s="62"/>
      <c r="AD42" s="63"/>
    </row>
    <row r="43" spans="2:30" x14ac:dyDescent="0.2">
      <c r="B43" s="29">
        <v>2011</v>
      </c>
      <c r="C43" s="30">
        <v>12530.217972921011</v>
      </c>
      <c r="D43" s="39"/>
      <c r="E43" s="30">
        <v>12359.611999999999</v>
      </c>
      <c r="F43" s="36"/>
      <c r="G43" s="69">
        <v>0.98638443694357847</v>
      </c>
      <c r="H43" s="36"/>
      <c r="I43" s="32">
        <v>552.5</v>
      </c>
      <c r="J43" s="36"/>
      <c r="K43" s="37">
        <v>40784</v>
      </c>
      <c r="L43" s="36"/>
      <c r="M43" s="32">
        <v>779</v>
      </c>
      <c r="N43" s="36"/>
      <c r="O43" s="31">
        <v>1.4099547511312218</v>
      </c>
      <c r="P43" s="32">
        <f t="shared" si="1"/>
        <v>646.46425339366522</v>
      </c>
      <c r="Q43" s="2"/>
      <c r="R43" s="1"/>
      <c r="S43" s="25"/>
      <c r="T43" s="25"/>
      <c r="U43" s="25"/>
      <c r="V43" s="2"/>
      <c r="W43" s="26"/>
      <c r="X43" s="2"/>
      <c r="Y43" s="27"/>
      <c r="Z43" s="28"/>
      <c r="AA43" s="28"/>
      <c r="AB43" s="28"/>
      <c r="AC43" s="62"/>
      <c r="AD43" s="63"/>
    </row>
    <row r="44" spans="2:30" x14ac:dyDescent="0.2">
      <c r="B44" s="19">
        <v>2005</v>
      </c>
      <c r="C44" s="40">
        <v>11268</v>
      </c>
      <c r="D44" s="19"/>
      <c r="E44" s="40">
        <v>11112.187</v>
      </c>
      <c r="F44" s="19"/>
      <c r="G44" s="68">
        <v>0.98617208022719205</v>
      </c>
      <c r="H44" s="19"/>
      <c r="I44" s="21">
        <v>234</v>
      </c>
      <c r="J44" s="19"/>
      <c r="K44" s="35">
        <v>38551</v>
      </c>
      <c r="L44" s="19"/>
      <c r="M44" s="21">
        <v>273</v>
      </c>
      <c r="N44" s="19"/>
      <c r="O44" s="20">
        <v>1.1666666666666667</v>
      </c>
      <c r="P44" s="21">
        <f t="shared" si="1"/>
        <v>534.91666666666674</v>
      </c>
      <c r="Q44" s="2"/>
      <c r="R44" s="1"/>
      <c r="S44" s="25"/>
      <c r="T44" s="25"/>
      <c r="U44" s="25"/>
      <c r="V44" s="25"/>
      <c r="W44" s="26"/>
      <c r="X44" s="2"/>
      <c r="Y44" s="27"/>
      <c r="Z44" s="28"/>
      <c r="AA44" s="28"/>
      <c r="AB44" s="28"/>
      <c r="AC44" s="26"/>
      <c r="AD44" s="28"/>
    </row>
    <row r="45" spans="2:30" x14ac:dyDescent="0.2">
      <c r="B45" s="29">
        <v>2003</v>
      </c>
      <c r="C45" s="30">
        <v>10230</v>
      </c>
      <c r="D45" s="39"/>
      <c r="E45" s="30">
        <v>10087.291999999999</v>
      </c>
      <c r="F45" s="36"/>
      <c r="G45" s="69">
        <v>0.98605004887585523</v>
      </c>
      <c r="H45" s="36"/>
      <c r="I45" s="32">
        <v>241.75</v>
      </c>
      <c r="J45" s="36"/>
      <c r="K45" s="37">
        <v>37967</v>
      </c>
      <c r="L45" s="36"/>
      <c r="M45" s="32">
        <v>255</v>
      </c>
      <c r="N45" s="36"/>
      <c r="O45" s="31">
        <v>1.0548086866597726</v>
      </c>
      <c r="P45" s="32">
        <f t="shared" si="1"/>
        <v>483.62978283350571</v>
      </c>
      <c r="Q45" s="2"/>
      <c r="R45" s="1"/>
      <c r="S45" s="25"/>
      <c r="T45" s="47"/>
      <c r="U45" s="25"/>
      <c r="V45" s="1"/>
      <c r="W45" s="26"/>
      <c r="X45" s="1"/>
      <c r="Y45" s="48"/>
      <c r="Z45" s="28"/>
      <c r="AA45" s="28"/>
      <c r="AB45" s="28"/>
      <c r="AC45" s="26"/>
      <c r="AD45" s="28"/>
    </row>
    <row r="46" spans="2:30" x14ac:dyDescent="0.2">
      <c r="B46" s="19">
        <v>2017</v>
      </c>
      <c r="C46" s="40">
        <v>14798</v>
      </c>
      <c r="D46" s="19"/>
      <c r="E46" s="40">
        <v>14609</v>
      </c>
      <c r="F46" s="19"/>
      <c r="G46" s="68">
        <v>0.9872280037842952</v>
      </c>
      <c r="H46" s="19"/>
      <c r="I46" s="21">
        <v>383.5</v>
      </c>
      <c r="J46" s="19"/>
      <c r="K46" s="35">
        <v>42927</v>
      </c>
      <c r="L46" s="19"/>
      <c r="M46" s="21">
        <v>417.25</v>
      </c>
      <c r="N46" s="19"/>
      <c r="O46" s="20">
        <v>1.0880052151238593</v>
      </c>
      <c r="P46" s="21">
        <f t="shared" si="1"/>
        <v>498.85039113428945</v>
      </c>
      <c r="Q46" s="2"/>
      <c r="R46" s="1"/>
      <c r="S46" s="25"/>
      <c r="T46" s="25"/>
      <c r="U46" s="25"/>
      <c r="V46" s="2"/>
      <c r="W46" s="26"/>
      <c r="X46" s="2"/>
      <c r="Y46" s="27"/>
      <c r="Z46" s="28"/>
      <c r="AA46" s="28"/>
      <c r="AB46" s="28"/>
      <c r="AC46" s="62"/>
      <c r="AD46" s="63"/>
    </row>
    <row r="47" spans="2:30" x14ac:dyDescent="0.2">
      <c r="B47" s="29">
        <v>2019</v>
      </c>
      <c r="C47" s="30">
        <v>13843</v>
      </c>
      <c r="D47" s="29"/>
      <c r="E47" s="30">
        <v>13568</v>
      </c>
      <c r="F47" s="29"/>
      <c r="G47" s="69">
        <v>0.98013436393845266</v>
      </c>
      <c r="H47" s="29"/>
      <c r="I47" s="32">
        <v>398.25</v>
      </c>
      <c r="J47" s="29"/>
      <c r="K47" s="37">
        <v>43633</v>
      </c>
      <c r="L47" s="29"/>
      <c r="M47" s="32">
        <v>473</v>
      </c>
      <c r="N47" s="29"/>
      <c r="O47" s="31">
        <v>1.1876961707470182</v>
      </c>
      <c r="P47" s="32">
        <f t="shared" si="1"/>
        <v>544.55869428750782</v>
      </c>
    </row>
    <row r="48" spans="2:30" x14ac:dyDescent="0.2">
      <c r="B48" s="19">
        <v>2024</v>
      </c>
      <c r="C48" s="40">
        <v>15126</v>
      </c>
      <c r="D48" s="19"/>
      <c r="E48" s="40">
        <v>14892</v>
      </c>
      <c r="F48" s="19"/>
      <c r="G48" s="68">
        <v>0.98452994843316144</v>
      </c>
      <c r="H48" s="19"/>
      <c r="I48" s="21">
        <v>498.25</v>
      </c>
      <c r="J48" s="19"/>
      <c r="K48" s="35">
        <v>45293</v>
      </c>
      <c r="L48" s="19"/>
      <c r="M48" s="21">
        <v>502.25</v>
      </c>
      <c r="N48" s="19"/>
      <c r="O48" s="20">
        <v>1.0080280983442047</v>
      </c>
      <c r="P48" s="21">
        <f t="shared" si="1"/>
        <v>462.18088309081787</v>
      </c>
      <c r="Q48" s="2"/>
      <c r="R48" s="1"/>
      <c r="S48" s="25"/>
      <c r="T48" s="25"/>
      <c r="U48" s="25"/>
      <c r="V48" s="2"/>
      <c r="W48" s="26"/>
      <c r="X48" s="2"/>
      <c r="Y48" s="27"/>
      <c r="Z48" s="28"/>
      <c r="AA48" s="28"/>
      <c r="AB48" s="28"/>
      <c r="AC48" s="62"/>
      <c r="AD48" s="63"/>
    </row>
    <row r="49" spans="2:30" x14ac:dyDescent="0.2">
      <c r="B49" s="29">
        <v>2012</v>
      </c>
      <c r="C49" s="30">
        <v>11085.645191123782</v>
      </c>
      <c r="D49" s="39"/>
      <c r="E49" s="30">
        <v>10755.111000000001</v>
      </c>
      <c r="F49" s="36"/>
      <c r="G49" s="69">
        <v>0.97018358558070772</v>
      </c>
      <c r="H49" s="36"/>
      <c r="I49" s="32">
        <v>590</v>
      </c>
      <c r="J49" s="36"/>
      <c r="K49" s="37">
        <v>41131</v>
      </c>
      <c r="L49" s="36"/>
      <c r="M49" s="32">
        <v>849</v>
      </c>
      <c r="N49" s="36"/>
      <c r="O49" s="31">
        <v>1.4389830508474577</v>
      </c>
      <c r="P49" s="32">
        <f t="shared" si="1"/>
        <v>659.77372881355939</v>
      </c>
      <c r="R49" s="1"/>
      <c r="S49" s="25"/>
      <c r="T49" s="25"/>
      <c r="U49" s="25"/>
      <c r="V49" s="2"/>
      <c r="W49" s="26"/>
      <c r="X49" s="2"/>
      <c r="Y49" s="27"/>
      <c r="Z49" s="28"/>
      <c r="AA49" s="28"/>
      <c r="AB49" s="28"/>
      <c r="AC49" s="62"/>
      <c r="AD49" s="63"/>
    </row>
    <row r="50" spans="2:30" x14ac:dyDescent="0.2">
      <c r="B50" s="19">
        <v>2001</v>
      </c>
      <c r="C50" s="40">
        <v>9816</v>
      </c>
      <c r="D50" s="19"/>
      <c r="E50" s="40">
        <v>9502.58</v>
      </c>
      <c r="F50" s="19"/>
      <c r="G50" s="68">
        <v>0.96807049714751425</v>
      </c>
      <c r="H50" s="19"/>
      <c r="I50" s="21">
        <v>258.25</v>
      </c>
      <c r="J50" s="19"/>
      <c r="K50" s="35">
        <v>36893</v>
      </c>
      <c r="L50" s="19"/>
      <c r="M50" s="21">
        <v>262</v>
      </c>
      <c r="N50" s="19"/>
      <c r="O50" s="20">
        <v>1.0145208131655372</v>
      </c>
      <c r="P50" s="21">
        <f t="shared" si="1"/>
        <v>465.15779283639881</v>
      </c>
      <c r="S50" s="40"/>
      <c r="T50" s="40"/>
      <c r="U50" s="40"/>
      <c r="Y50" s="48"/>
    </row>
    <row r="51" spans="2:30" x14ac:dyDescent="0.2">
      <c r="B51" s="29">
        <v>2010</v>
      </c>
      <c r="C51" s="30">
        <v>13057.636075911465</v>
      </c>
      <c r="D51" s="39"/>
      <c r="E51" s="30">
        <v>12446.865</v>
      </c>
      <c r="F51" s="36"/>
      <c r="G51" s="69">
        <v>0.95322498863035354</v>
      </c>
      <c r="H51" s="36"/>
      <c r="I51" s="32">
        <v>445.25</v>
      </c>
      <c r="J51" s="36"/>
      <c r="K51" s="37">
        <v>40491</v>
      </c>
      <c r="L51" s="36"/>
      <c r="M51" s="32">
        <v>605</v>
      </c>
      <c r="N51" s="36"/>
      <c r="O51" s="31">
        <v>1.3587871982032567</v>
      </c>
      <c r="P51" s="32">
        <f t="shared" si="1"/>
        <v>623.00393037619313</v>
      </c>
      <c r="Q51" s="41"/>
      <c r="R51" s="41"/>
      <c r="S51" s="43"/>
      <c r="T51" s="43"/>
      <c r="U51" s="43"/>
      <c r="V51" s="41"/>
      <c r="W51" s="44"/>
      <c r="X51" s="41"/>
      <c r="Y51" s="64"/>
      <c r="Z51" s="46"/>
      <c r="AA51" s="46"/>
      <c r="AB51" s="46"/>
      <c r="AC51" s="44"/>
      <c r="AD51" s="46"/>
    </row>
    <row r="52" spans="2:30" x14ac:dyDescent="0.2">
      <c r="B52" s="19">
        <v>2002</v>
      </c>
      <c r="C52" s="40">
        <v>9486</v>
      </c>
      <c r="D52" s="19"/>
      <c r="E52" s="40">
        <v>8966.7870000000003</v>
      </c>
      <c r="F52" s="19"/>
      <c r="G52" s="68">
        <v>0.94526533839342186</v>
      </c>
      <c r="H52" s="19"/>
      <c r="I52" s="21">
        <v>233.75</v>
      </c>
      <c r="J52" s="19"/>
      <c r="K52" s="35">
        <v>37508</v>
      </c>
      <c r="L52" s="19"/>
      <c r="M52" s="21">
        <v>296</v>
      </c>
      <c r="N52" s="19"/>
      <c r="O52" s="20">
        <v>1.2663101604278075</v>
      </c>
      <c r="P52" s="21">
        <f t="shared" si="1"/>
        <v>580.60320855614975</v>
      </c>
      <c r="Q52" s="2"/>
      <c r="R52" s="1"/>
      <c r="S52" s="25"/>
      <c r="T52" s="25"/>
      <c r="U52" s="25"/>
      <c r="V52" s="2"/>
      <c r="W52" s="26"/>
      <c r="X52" s="2"/>
      <c r="Y52" s="27"/>
      <c r="Z52" s="28"/>
      <c r="AA52" s="28"/>
      <c r="AB52" s="28"/>
      <c r="AC52" s="26"/>
      <c r="AD52" s="28"/>
    </row>
    <row r="53" spans="2:30" x14ac:dyDescent="0.2">
      <c r="B53" s="29">
        <v>2020</v>
      </c>
      <c r="C53" s="30">
        <v>14881</v>
      </c>
      <c r="D53" s="39"/>
      <c r="E53" s="30">
        <v>14087</v>
      </c>
      <c r="F53" s="36"/>
      <c r="G53" s="69">
        <v>0.94664337074121363</v>
      </c>
      <c r="H53" s="36"/>
      <c r="I53" s="32">
        <v>404.5</v>
      </c>
      <c r="J53" s="36"/>
      <c r="K53" s="37">
        <v>44165</v>
      </c>
      <c r="L53" s="36"/>
      <c r="M53" s="32">
        <v>430.5</v>
      </c>
      <c r="N53" s="36"/>
      <c r="O53" s="31">
        <v>1.0642768850432633</v>
      </c>
      <c r="P53" s="32">
        <f t="shared" si="1"/>
        <v>487.97095179233622</v>
      </c>
      <c r="R53" s="41"/>
      <c r="S53" s="40"/>
      <c r="T53" s="40"/>
      <c r="U53" s="40"/>
      <c r="Y53" s="9"/>
    </row>
    <row r="54" spans="2:30" x14ac:dyDescent="0.2">
      <c r="B54" s="19" t="s">
        <v>27</v>
      </c>
      <c r="C54" s="40">
        <v>7916</v>
      </c>
      <c r="D54" s="19"/>
      <c r="E54" s="40">
        <v>7475</v>
      </c>
      <c r="F54" s="19"/>
      <c r="G54" s="68">
        <v>0.94429004547751394</v>
      </c>
      <c r="H54" s="19"/>
      <c r="I54" s="21">
        <v>248.5</v>
      </c>
      <c r="J54" s="19"/>
      <c r="K54" s="35">
        <v>33451</v>
      </c>
      <c r="L54" s="19"/>
      <c r="M54" s="21">
        <v>272</v>
      </c>
      <c r="N54" s="19"/>
      <c r="O54" s="20">
        <v>1.0945674044265594</v>
      </c>
      <c r="P54" s="21">
        <f t="shared" si="1"/>
        <v>501.85915492957747</v>
      </c>
      <c r="R54" s="41"/>
      <c r="S54" s="40"/>
      <c r="T54" s="40"/>
      <c r="U54" s="40"/>
      <c r="Y54" s="9"/>
    </row>
    <row r="55" spans="2:30" x14ac:dyDescent="0.2">
      <c r="B55" s="29">
        <v>2006</v>
      </c>
      <c r="C55" s="30">
        <v>11206.817848151917</v>
      </c>
      <c r="D55" s="39"/>
      <c r="E55" s="30">
        <v>10531.123</v>
      </c>
      <c r="F55" s="36"/>
      <c r="G55" s="69">
        <v>0.93970680550827868</v>
      </c>
      <c r="H55" s="36"/>
      <c r="I55" s="32">
        <v>251.5</v>
      </c>
      <c r="J55" s="36"/>
      <c r="K55" s="37">
        <v>39051</v>
      </c>
      <c r="L55" s="36"/>
      <c r="M55" s="32">
        <v>378</v>
      </c>
      <c r="N55" s="36"/>
      <c r="O55" s="31">
        <v>1.5029821073558649</v>
      </c>
      <c r="P55" s="32">
        <f t="shared" si="1"/>
        <v>689.11729622266409</v>
      </c>
      <c r="Y55" s="65"/>
    </row>
    <row r="56" spans="2:30" x14ac:dyDescent="0.2">
      <c r="B56" s="19">
        <v>1995</v>
      </c>
      <c r="C56" s="40">
        <v>8548</v>
      </c>
      <c r="D56" s="19"/>
      <c r="E56" s="40">
        <v>7400</v>
      </c>
      <c r="F56" s="19"/>
      <c r="G56" s="68">
        <v>0.86569957884885351</v>
      </c>
      <c r="H56" s="19"/>
      <c r="I56" s="21">
        <v>248</v>
      </c>
      <c r="J56" s="19"/>
      <c r="K56" s="35">
        <v>35052</v>
      </c>
      <c r="L56" s="19"/>
      <c r="M56" s="21">
        <v>344.5</v>
      </c>
      <c r="N56" s="19"/>
      <c r="O56" s="20">
        <v>1.3891129032258065</v>
      </c>
      <c r="P56" s="21">
        <f t="shared" si="1"/>
        <v>636.90826612903231</v>
      </c>
      <c r="AB56" s="65"/>
    </row>
    <row r="57" spans="2:30" x14ac:dyDescent="0.2">
      <c r="B57" s="29">
        <v>1993</v>
      </c>
      <c r="C57" s="30">
        <v>7621</v>
      </c>
      <c r="D57" s="29"/>
      <c r="E57" s="30">
        <v>6338</v>
      </c>
      <c r="F57" s="29"/>
      <c r="G57" s="69">
        <v>0.8316493898438525</v>
      </c>
      <c r="H57" s="29"/>
      <c r="I57" s="32">
        <v>238.75</v>
      </c>
      <c r="J57" s="29"/>
      <c r="K57" s="37">
        <v>34323</v>
      </c>
      <c r="L57" s="29"/>
      <c r="M57" s="32">
        <v>291.75</v>
      </c>
      <c r="N57" s="29"/>
      <c r="O57" s="31">
        <v>1.2219895287958116</v>
      </c>
      <c r="P57" s="32">
        <f t="shared" si="1"/>
        <v>560.28219895287964</v>
      </c>
      <c r="AB57" s="65"/>
    </row>
    <row r="58" spans="2:30" x14ac:dyDescent="0.2">
      <c r="K58" s="65"/>
      <c r="P58" s="21"/>
      <c r="T58" s="2"/>
      <c r="AB58" s="65"/>
    </row>
    <row r="59" spans="2:30" x14ac:dyDescent="0.2">
      <c r="B59" s="5" t="s">
        <v>22</v>
      </c>
      <c r="C59" s="5"/>
      <c r="D59" s="5"/>
      <c r="E59" s="5"/>
      <c r="F59" s="5"/>
      <c r="G59" s="70">
        <f>MEDIAN(G40:G56)</f>
        <v>0.98013436393845266</v>
      </c>
      <c r="H59" s="5"/>
      <c r="I59" s="5"/>
      <c r="J59" s="5"/>
      <c r="K59" s="50"/>
      <c r="L59" s="5"/>
      <c r="M59" s="51">
        <f>MEDIAN(M40:M57)</f>
        <v>397.625</v>
      </c>
      <c r="N59" s="5"/>
      <c r="O59" s="49">
        <f>MEDIAN(O40:O57)</f>
        <v>1.1771814187068426</v>
      </c>
      <c r="P59" s="51">
        <f>MEDIAN(P40:P57)</f>
        <v>539.73768047708722</v>
      </c>
      <c r="T59" s="2"/>
      <c r="AB59" s="65"/>
    </row>
    <row r="60" spans="2:30" x14ac:dyDescent="0.2">
      <c r="K60" s="65"/>
    </row>
  </sheetData>
  <printOptions gridLines="1" gridLinesSet="0"/>
  <pageMargins left="0.95" right="0.45" top="0.5" bottom="0.5" header="0.3" footer="0.3"/>
  <pageSetup scale="94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563A-FCBD-450B-8AE7-F5DA57A217D2}">
  <dimension ref="B1:AC103"/>
  <sheetViews>
    <sheetView topLeftCell="A20" zoomScaleNormal="100" workbookViewId="0">
      <selection activeCell="B2" sqref="B2:P59"/>
    </sheetView>
  </sheetViews>
  <sheetFormatPr defaultColWidth="13.42578125" defaultRowHeight="12" x14ac:dyDescent="0.15"/>
  <cols>
    <col min="1" max="1" width="13.42578125" style="81"/>
    <col min="2" max="3" width="10.85546875" style="81" customWidth="1"/>
    <col min="4" max="4" width="10.140625" style="81" customWidth="1"/>
    <col min="5" max="5" width="8.7109375" style="81" customWidth="1"/>
    <col min="6" max="6" width="9.7109375" style="81" customWidth="1"/>
    <col min="7" max="7" width="4.85546875" style="81" customWidth="1"/>
    <col min="8" max="8" width="8.7109375" style="130" customWidth="1"/>
    <col min="9" max="9" width="5.140625" style="81" customWidth="1"/>
    <col min="10" max="10" width="7.28515625" style="81" customWidth="1"/>
    <col min="11" max="11" width="5.42578125" style="81" bestFit="1" customWidth="1"/>
    <col min="12" max="12" width="6.7109375" style="81" customWidth="1"/>
    <col min="13" max="13" width="11.140625" style="81" customWidth="1"/>
    <col min="14" max="14" width="9" style="81" customWidth="1"/>
    <col min="15" max="16384" width="13.42578125" style="81"/>
  </cols>
  <sheetData>
    <row r="1" spans="2:27" ht="12.75" x14ac:dyDescent="0.2">
      <c r="B1" s="72"/>
      <c r="C1" s="73"/>
      <c r="D1" s="73"/>
      <c r="E1" s="74"/>
      <c r="F1" s="75"/>
      <c r="G1" s="76"/>
      <c r="H1" s="77"/>
      <c r="I1" s="78"/>
      <c r="J1" s="79"/>
      <c r="K1" s="76"/>
      <c r="L1" s="76"/>
      <c r="M1" s="80"/>
      <c r="N1" s="76"/>
    </row>
    <row r="2" spans="2:27" ht="12.75" x14ac:dyDescent="0.2">
      <c r="B2" s="1"/>
      <c r="C2" s="82"/>
      <c r="D2" s="82"/>
      <c r="E2" s="66" t="s">
        <v>37</v>
      </c>
      <c r="F2" s="4"/>
      <c r="G2" s="2"/>
      <c r="H2" s="12"/>
      <c r="I2" s="83"/>
      <c r="J2" s="53"/>
      <c r="K2" s="28"/>
      <c r="L2" s="53"/>
      <c r="M2" s="25"/>
      <c r="N2" s="76"/>
    </row>
    <row r="3" spans="2:27" ht="12.75" x14ac:dyDescent="0.2">
      <c r="B3" s="1"/>
      <c r="C3" s="82"/>
      <c r="D3" s="82"/>
      <c r="E3" s="1" t="s">
        <v>38</v>
      </c>
      <c r="F3" s="4"/>
      <c r="G3" s="2"/>
      <c r="H3" s="12"/>
      <c r="I3" s="83"/>
      <c r="J3" s="53"/>
      <c r="K3" s="28"/>
      <c r="L3" s="53"/>
      <c r="M3" s="25"/>
      <c r="N3" s="84"/>
    </row>
    <row r="4" spans="2:27" ht="12.75" x14ac:dyDescent="0.2">
      <c r="B4" s="1"/>
      <c r="C4" s="82"/>
      <c r="D4" s="82"/>
      <c r="E4" s="1"/>
      <c r="F4" s="4"/>
      <c r="G4" s="2"/>
      <c r="H4" s="12"/>
      <c r="I4" s="83"/>
      <c r="J4" s="53"/>
      <c r="K4" s="28"/>
      <c r="L4" s="53"/>
      <c r="M4" s="25"/>
      <c r="N4" s="84"/>
    </row>
    <row r="5" spans="2:27" ht="12.75" x14ac:dyDescent="0.2">
      <c r="B5" s="2"/>
      <c r="C5" s="12"/>
      <c r="D5" s="12"/>
      <c r="E5" s="85" t="s">
        <v>39</v>
      </c>
      <c r="F5" s="85" t="s">
        <v>40</v>
      </c>
      <c r="G5" s="12"/>
      <c r="H5" s="12" t="s">
        <v>2</v>
      </c>
      <c r="I5" s="12"/>
      <c r="J5" s="12" t="s">
        <v>41</v>
      </c>
      <c r="K5" s="12"/>
      <c r="L5" s="85" t="s">
        <v>40</v>
      </c>
      <c r="M5" s="12"/>
      <c r="N5" s="86"/>
    </row>
    <row r="6" spans="2:27" ht="12.75" x14ac:dyDescent="0.2">
      <c r="B6" s="2"/>
      <c r="C6" s="85" t="s">
        <v>42</v>
      </c>
      <c r="D6" s="85" t="s">
        <v>43</v>
      </c>
      <c r="E6" s="12" t="s">
        <v>44</v>
      </c>
      <c r="F6" s="85" t="s">
        <v>45</v>
      </c>
      <c r="G6" s="12"/>
      <c r="H6" s="12" t="s">
        <v>46</v>
      </c>
      <c r="I6" s="12"/>
      <c r="J6" s="85" t="s">
        <v>47</v>
      </c>
      <c r="K6" s="85"/>
      <c r="L6" s="85" t="s">
        <v>48</v>
      </c>
      <c r="M6" s="12" t="s">
        <v>12</v>
      </c>
      <c r="N6" s="87"/>
    </row>
    <row r="7" spans="2:27" ht="12.75" x14ac:dyDescent="0.2">
      <c r="B7" s="88" t="s">
        <v>13</v>
      </c>
      <c r="C7" s="16" t="s">
        <v>49</v>
      </c>
      <c r="D7" s="16" t="s">
        <v>49</v>
      </c>
      <c r="E7" s="89" t="s">
        <v>50</v>
      </c>
      <c r="F7" s="16" t="s">
        <v>51</v>
      </c>
      <c r="G7" s="16"/>
      <c r="H7" s="16" t="s">
        <v>52</v>
      </c>
      <c r="I7" s="16"/>
      <c r="J7" s="16" t="s">
        <v>51</v>
      </c>
      <c r="K7" s="16"/>
      <c r="L7" s="89" t="s">
        <v>18</v>
      </c>
      <c r="M7" s="89" t="s">
        <v>40</v>
      </c>
      <c r="N7" s="90"/>
      <c r="O7" s="87"/>
      <c r="P7" s="87"/>
      <c r="Q7" s="91"/>
      <c r="R7" s="74"/>
      <c r="S7" s="91"/>
      <c r="U7" s="90"/>
      <c r="V7" s="90"/>
      <c r="W7" s="92"/>
      <c r="X7" s="90"/>
      <c r="Y7" s="90"/>
      <c r="Z7" s="90"/>
      <c r="AA7" s="90"/>
    </row>
    <row r="8" spans="2:27" ht="12.75" x14ac:dyDescent="0.2">
      <c r="B8" s="87"/>
      <c r="C8" s="87"/>
      <c r="D8" s="87"/>
      <c r="E8" s="93"/>
      <c r="F8" s="87"/>
      <c r="G8" s="87"/>
      <c r="H8" s="84"/>
      <c r="I8" s="94"/>
      <c r="J8" s="87"/>
      <c r="K8" s="87"/>
      <c r="L8" s="87"/>
      <c r="M8" s="87"/>
      <c r="N8" s="76"/>
      <c r="O8" s="72"/>
      <c r="P8" s="75"/>
      <c r="Q8" s="75"/>
      <c r="R8" s="74"/>
      <c r="S8" s="90"/>
      <c r="T8" s="75"/>
      <c r="U8" s="76"/>
      <c r="V8" s="76"/>
      <c r="W8" s="95"/>
      <c r="X8" s="84"/>
      <c r="Y8" s="76"/>
      <c r="Z8" s="76"/>
      <c r="AA8" s="80"/>
    </row>
    <row r="9" spans="2:27" ht="12.75" x14ac:dyDescent="0.2">
      <c r="B9" s="19">
        <v>1992</v>
      </c>
      <c r="C9" s="96">
        <v>8469</v>
      </c>
      <c r="D9" s="96">
        <v>9477</v>
      </c>
      <c r="E9" s="97">
        <v>0.249</v>
      </c>
      <c r="F9" s="21">
        <v>211.5</v>
      </c>
      <c r="G9" s="21"/>
      <c r="H9" s="35">
        <v>34136</v>
      </c>
      <c r="I9" s="65"/>
      <c r="J9" s="21">
        <v>229</v>
      </c>
      <c r="K9" s="21"/>
      <c r="L9" s="98">
        <f t="shared" ref="L9:L44" si="0">F9/J9</f>
        <v>0.92358078602620086</v>
      </c>
      <c r="M9" s="40">
        <f t="shared" ref="M9:M44" si="1">L9*J$26</f>
        <v>417.45851528384281</v>
      </c>
      <c r="N9" s="76"/>
      <c r="O9" s="72"/>
      <c r="P9" s="75"/>
      <c r="Q9" s="75"/>
      <c r="R9" s="74"/>
    </row>
    <row r="10" spans="2:27" ht="12.75" x14ac:dyDescent="0.2">
      <c r="B10" s="99">
        <v>2004</v>
      </c>
      <c r="C10" s="100">
        <v>10661</v>
      </c>
      <c r="D10" s="100">
        <v>11807.085999999999</v>
      </c>
      <c r="E10" s="101">
        <v>0.19830156645718011</v>
      </c>
      <c r="F10" s="32">
        <v>203</v>
      </c>
      <c r="G10" s="39"/>
      <c r="H10" s="102">
        <v>38484</v>
      </c>
      <c r="I10" s="39"/>
      <c r="J10" s="32">
        <v>217.25</v>
      </c>
      <c r="K10" s="32"/>
      <c r="L10" s="103">
        <f t="shared" si="0"/>
        <v>0.93440736478711162</v>
      </c>
      <c r="M10" s="30">
        <f t="shared" si="1"/>
        <v>422.35212888377447</v>
      </c>
      <c r="N10" s="76"/>
      <c r="O10" s="72"/>
      <c r="P10" s="75"/>
      <c r="Q10" s="75"/>
      <c r="R10" s="74"/>
    </row>
    <row r="11" spans="2:27" ht="12.75" x14ac:dyDescent="0.2">
      <c r="B11" s="19">
        <v>1990</v>
      </c>
      <c r="C11" s="96">
        <v>7761</v>
      </c>
      <c r="D11" s="96">
        <v>7934</v>
      </c>
      <c r="E11" s="97">
        <v>0.19600000000000001</v>
      </c>
      <c r="F11" s="21">
        <v>223</v>
      </c>
      <c r="G11" s="21"/>
      <c r="H11" s="35">
        <v>33417</v>
      </c>
      <c r="I11" s="65"/>
      <c r="J11" s="21">
        <v>245.25</v>
      </c>
      <c r="K11" s="21"/>
      <c r="L11" s="98">
        <f t="shared" si="0"/>
        <v>0.90927624872579005</v>
      </c>
      <c r="M11" s="40">
        <f t="shared" si="1"/>
        <v>410.99286442405707</v>
      </c>
      <c r="N11" s="76"/>
      <c r="O11" s="72"/>
      <c r="P11" s="75"/>
      <c r="Q11" s="75"/>
      <c r="R11" s="74"/>
    </row>
    <row r="12" spans="2:27" ht="12.75" x14ac:dyDescent="0.2">
      <c r="B12" s="99">
        <v>2000</v>
      </c>
      <c r="C12" s="100">
        <v>9741</v>
      </c>
      <c r="D12" s="100">
        <v>9915.0509999999995</v>
      </c>
      <c r="E12" s="101">
        <v>0.19498490914690464</v>
      </c>
      <c r="F12" s="32">
        <v>184</v>
      </c>
      <c r="G12" s="39"/>
      <c r="H12" s="102">
        <v>37067</v>
      </c>
      <c r="I12" s="39"/>
      <c r="J12" s="32">
        <v>242</v>
      </c>
      <c r="K12" s="32"/>
      <c r="L12" s="103">
        <f t="shared" si="0"/>
        <v>0.76033057851239672</v>
      </c>
      <c r="M12" s="30">
        <f t="shared" si="1"/>
        <v>343.6694214876033</v>
      </c>
      <c r="N12" s="76"/>
      <c r="O12" s="72"/>
      <c r="P12" s="75"/>
      <c r="Q12" s="75"/>
      <c r="R12" s="74"/>
    </row>
    <row r="13" spans="2:27" ht="12.75" x14ac:dyDescent="0.2">
      <c r="B13" s="19">
        <v>1998</v>
      </c>
      <c r="C13" s="96">
        <v>9299</v>
      </c>
      <c r="D13" s="96">
        <v>9758.6849999999995</v>
      </c>
      <c r="E13" s="97">
        <v>0.19213732659425739</v>
      </c>
      <c r="F13" s="21">
        <v>177</v>
      </c>
      <c r="G13" s="21"/>
      <c r="H13" s="35">
        <v>36353</v>
      </c>
      <c r="I13" s="65"/>
      <c r="J13" s="21">
        <v>228</v>
      </c>
      <c r="K13" s="21"/>
      <c r="L13" s="98">
        <f t="shared" si="0"/>
        <v>0.77631578947368418</v>
      </c>
      <c r="M13" s="40">
        <f t="shared" si="1"/>
        <v>350.89473684210526</v>
      </c>
      <c r="N13" s="76"/>
      <c r="O13" s="72"/>
      <c r="P13" s="75"/>
      <c r="Q13" s="75"/>
      <c r="R13" s="74"/>
    </row>
    <row r="14" spans="2:27" ht="12.75" x14ac:dyDescent="0.2">
      <c r="B14" s="99">
        <v>1999</v>
      </c>
      <c r="C14" s="100">
        <v>9514</v>
      </c>
      <c r="D14" s="100">
        <v>9430.6119999999992</v>
      </c>
      <c r="E14" s="101">
        <v>0.18060721042673941</v>
      </c>
      <c r="F14" s="32">
        <v>174.5</v>
      </c>
      <c r="G14" s="39"/>
      <c r="H14" s="102">
        <v>36719</v>
      </c>
      <c r="I14" s="39"/>
      <c r="J14" s="32">
        <v>214.75</v>
      </c>
      <c r="K14" s="32"/>
      <c r="L14" s="103">
        <f t="shared" si="0"/>
        <v>0.81257275902211878</v>
      </c>
      <c r="M14" s="30">
        <f t="shared" si="1"/>
        <v>367.28288707799771</v>
      </c>
      <c r="O14" s="72"/>
      <c r="P14" s="75"/>
      <c r="Q14" s="75"/>
      <c r="R14" s="74"/>
    </row>
    <row r="15" spans="2:27" ht="12.75" x14ac:dyDescent="0.2">
      <c r="B15" s="19">
        <v>2005</v>
      </c>
      <c r="C15" s="96">
        <v>11268</v>
      </c>
      <c r="D15" s="96">
        <v>11112.187</v>
      </c>
      <c r="E15" s="97">
        <v>0.17458998935037248</v>
      </c>
      <c r="F15" s="21">
        <v>221</v>
      </c>
      <c r="G15" s="21"/>
      <c r="H15" s="35">
        <v>38894</v>
      </c>
      <c r="I15" s="65"/>
      <c r="J15" s="21">
        <v>236</v>
      </c>
      <c r="K15" s="21"/>
      <c r="L15" s="98">
        <f t="shared" si="0"/>
        <v>0.93644067796610164</v>
      </c>
      <c r="M15" s="40">
        <f t="shared" si="1"/>
        <v>423.27118644067792</v>
      </c>
      <c r="N15" s="76"/>
      <c r="O15" s="72"/>
      <c r="P15" s="75"/>
      <c r="Q15" s="75"/>
      <c r="R15" s="74"/>
    </row>
    <row r="16" spans="2:27" ht="12.75" x14ac:dyDescent="0.2">
      <c r="B16" s="99">
        <v>1994</v>
      </c>
      <c r="C16" s="100">
        <v>9352</v>
      </c>
      <c r="D16" s="100">
        <v>10051</v>
      </c>
      <c r="E16" s="101">
        <v>0.16659538066723695</v>
      </c>
      <c r="F16" s="32">
        <v>240.5</v>
      </c>
      <c r="G16" s="39"/>
      <c r="H16" s="102">
        <v>34702</v>
      </c>
      <c r="I16" s="39"/>
      <c r="J16" s="32">
        <v>240.75</v>
      </c>
      <c r="K16" s="32"/>
      <c r="L16" s="103">
        <f t="shared" si="0"/>
        <v>0.99896157840083077</v>
      </c>
      <c r="M16" s="30">
        <f t="shared" si="1"/>
        <v>451.53063343717554</v>
      </c>
      <c r="N16" s="76"/>
      <c r="O16" s="72"/>
      <c r="P16" s="75"/>
      <c r="Q16" s="75"/>
      <c r="R16" s="74"/>
    </row>
    <row r="17" spans="2:18" ht="12.75" x14ac:dyDescent="0.2">
      <c r="B17" s="19">
        <v>2001</v>
      </c>
      <c r="C17" s="96">
        <v>9816</v>
      </c>
      <c r="D17" s="96">
        <v>9502.58</v>
      </c>
      <c r="E17" s="97">
        <v>0.1625843520782394</v>
      </c>
      <c r="F17" s="21">
        <v>198</v>
      </c>
      <c r="G17" s="21"/>
      <c r="H17" s="35">
        <v>37382</v>
      </c>
      <c r="I17" s="65"/>
      <c r="J17" s="21">
        <v>221.5</v>
      </c>
      <c r="K17" s="21"/>
      <c r="L17" s="98">
        <f t="shared" si="0"/>
        <v>0.89390519187358919</v>
      </c>
      <c r="M17" s="40">
        <f t="shared" si="1"/>
        <v>404.0451467268623</v>
      </c>
      <c r="N17" s="76"/>
      <c r="O17" s="72"/>
      <c r="P17" s="75"/>
      <c r="Q17" s="75"/>
      <c r="R17" s="74"/>
    </row>
    <row r="18" spans="2:18" ht="12.75" x14ac:dyDescent="0.2">
      <c r="B18" s="99">
        <v>2016</v>
      </c>
      <c r="C18" s="100">
        <v>14649</v>
      </c>
      <c r="D18" s="100">
        <v>15148.038</v>
      </c>
      <c r="E18" s="101">
        <v>0.1566535702770081</v>
      </c>
      <c r="F18" s="32">
        <v>356.25</v>
      </c>
      <c r="G18" s="39"/>
      <c r="H18" s="102">
        <v>42915</v>
      </c>
      <c r="I18" s="39"/>
      <c r="J18" s="32">
        <v>368.25</v>
      </c>
      <c r="K18" s="32"/>
      <c r="L18" s="103">
        <f t="shared" si="0"/>
        <v>0.96741344195519352</v>
      </c>
      <c r="M18" s="30">
        <f t="shared" si="1"/>
        <v>437.27087576374748</v>
      </c>
      <c r="N18" s="104"/>
      <c r="O18" s="105"/>
      <c r="P18" s="75"/>
      <c r="Q18" s="75"/>
      <c r="R18" s="74"/>
    </row>
    <row r="19" spans="2:18" s="108" customFormat="1" ht="12.75" x14ac:dyDescent="0.2">
      <c r="B19" s="106">
        <v>2018</v>
      </c>
      <c r="C19" s="96">
        <v>14253</v>
      </c>
      <c r="D19" s="96">
        <v>14322</v>
      </c>
      <c r="E19" s="97">
        <v>0.157</v>
      </c>
      <c r="F19" s="21">
        <v>343</v>
      </c>
      <c r="G19" s="24"/>
      <c r="H19" s="107">
        <v>43598</v>
      </c>
      <c r="I19" s="24"/>
      <c r="J19" s="21">
        <v>391</v>
      </c>
      <c r="K19" s="4"/>
      <c r="L19" s="98">
        <f t="shared" si="0"/>
        <v>0.87723785166240409</v>
      </c>
      <c r="M19" s="40">
        <f t="shared" si="1"/>
        <v>396.51150895140665</v>
      </c>
      <c r="N19" s="76"/>
      <c r="O19" s="72"/>
      <c r="P19" s="75"/>
      <c r="Q19" s="75"/>
      <c r="R19" s="74"/>
    </row>
    <row r="20" spans="2:18" ht="12.75" x14ac:dyDescent="0.2">
      <c r="B20" s="29">
        <v>1997</v>
      </c>
      <c r="C20" s="100">
        <v>8792</v>
      </c>
      <c r="D20" s="100">
        <v>9207</v>
      </c>
      <c r="E20" s="101">
        <v>0.14877161055505003</v>
      </c>
      <c r="F20" s="32">
        <v>220.5</v>
      </c>
      <c r="G20" s="32"/>
      <c r="H20" s="37">
        <v>35998</v>
      </c>
      <c r="I20" s="109"/>
      <c r="J20" s="32">
        <v>275.25</v>
      </c>
      <c r="K20" s="32"/>
      <c r="L20" s="103">
        <f t="shared" si="0"/>
        <v>0.80108991825613074</v>
      </c>
      <c r="M20" s="30">
        <f t="shared" si="1"/>
        <v>362.09264305177112</v>
      </c>
      <c r="N20" s="76"/>
      <c r="O20" s="72"/>
      <c r="P20" s="75"/>
      <c r="Q20" s="75"/>
      <c r="R20" s="74"/>
    </row>
    <row r="21" spans="2:18" ht="12.75" x14ac:dyDescent="0.2">
      <c r="B21" s="106">
        <v>2017</v>
      </c>
      <c r="C21" s="96">
        <v>14798</v>
      </c>
      <c r="D21" s="96">
        <v>14609</v>
      </c>
      <c r="E21" s="97">
        <v>0.14466670776391344</v>
      </c>
      <c r="F21" s="21">
        <v>329.75</v>
      </c>
      <c r="G21" s="24"/>
      <c r="H21" s="107">
        <v>43293</v>
      </c>
      <c r="I21" s="24"/>
      <c r="J21" s="21">
        <v>369.75</v>
      </c>
      <c r="K21" s="21"/>
      <c r="L21" s="98">
        <f t="shared" si="0"/>
        <v>0.89181879648411089</v>
      </c>
      <c r="M21" s="40">
        <f t="shared" si="1"/>
        <v>403.10209601081812</v>
      </c>
      <c r="N21" s="76"/>
      <c r="O21" s="105"/>
      <c r="P21" s="75"/>
      <c r="Q21" s="75"/>
      <c r="R21" s="74"/>
    </row>
    <row r="22" spans="2:18" ht="12.75" x14ac:dyDescent="0.2">
      <c r="B22" s="29">
        <v>2019</v>
      </c>
      <c r="C22" s="100">
        <v>13843</v>
      </c>
      <c r="D22" s="100">
        <v>13568</v>
      </c>
      <c r="E22" s="101">
        <v>0.14499999999999999</v>
      </c>
      <c r="F22" s="32">
        <v>309</v>
      </c>
      <c r="G22" s="32"/>
      <c r="H22" s="37">
        <v>43942</v>
      </c>
      <c r="I22" s="109"/>
      <c r="J22" s="32">
        <v>404</v>
      </c>
      <c r="K22" s="32"/>
      <c r="L22" s="110">
        <f>F22/J22</f>
        <v>0.76485148514851486</v>
      </c>
      <c r="M22" s="30">
        <f t="shared" si="1"/>
        <v>345.71287128712873</v>
      </c>
      <c r="N22" s="76"/>
      <c r="O22" s="72"/>
      <c r="P22" s="75"/>
      <c r="Q22" s="75"/>
      <c r="R22" s="74"/>
    </row>
    <row r="23" spans="2:18" ht="12.75" x14ac:dyDescent="0.2">
      <c r="B23" s="19">
        <v>1991</v>
      </c>
      <c r="C23" s="96">
        <v>7916</v>
      </c>
      <c r="D23" s="96">
        <v>7475</v>
      </c>
      <c r="E23" s="97">
        <v>0.13900000000000001</v>
      </c>
      <c r="F23" s="21">
        <v>221</v>
      </c>
      <c r="G23" s="21"/>
      <c r="H23" s="35">
        <v>33807</v>
      </c>
      <c r="I23" s="65"/>
      <c r="J23" s="21">
        <v>261.25</v>
      </c>
      <c r="K23" s="21"/>
      <c r="L23" s="98">
        <f t="shared" si="0"/>
        <v>0.84593301435406698</v>
      </c>
      <c r="M23" s="40">
        <f t="shared" si="1"/>
        <v>382.36172248803825</v>
      </c>
      <c r="N23" s="76"/>
      <c r="O23" s="72"/>
      <c r="P23" s="75"/>
      <c r="Q23" s="75"/>
      <c r="R23" s="74"/>
    </row>
    <row r="24" spans="2:18" ht="12.75" x14ac:dyDescent="0.2">
      <c r="B24" s="99">
        <v>2008</v>
      </c>
      <c r="C24" s="100">
        <v>12056.791836314076</v>
      </c>
      <c r="D24" s="100">
        <v>12091.647999999999</v>
      </c>
      <c r="E24" s="101">
        <v>0.13872605080537131</v>
      </c>
      <c r="F24" s="32">
        <v>335</v>
      </c>
      <c r="G24" s="39"/>
      <c r="H24" s="102">
        <v>40001</v>
      </c>
      <c r="I24" s="39"/>
      <c r="J24" s="32">
        <v>433</v>
      </c>
      <c r="K24" s="32"/>
      <c r="L24" s="103">
        <f t="shared" si="0"/>
        <v>0.7736720554272517</v>
      </c>
      <c r="M24" s="30">
        <f t="shared" si="1"/>
        <v>349.69976905311779</v>
      </c>
      <c r="N24" s="76"/>
      <c r="O24" s="72"/>
      <c r="P24" s="75"/>
      <c r="Q24" s="75"/>
      <c r="R24" s="74"/>
    </row>
    <row r="25" spans="2:18" ht="12.75" x14ac:dyDescent="0.2">
      <c r="B25" s="106">
        <v>2009</v>
      </c>
      <c r="C25" s="96">
        <v>13060.361215054585</v>
      </c>
      <c r="D25" s="96">
        <v>13091.861999999999</v>
      </c>
      <c r="E25" s="97">
        <v>0.1304656400041663</v>
      </c>
      <c r="F25" s="21">
        <v>324.5</v>
      </c>
      <c r="G25" s="24"/>
      <c r="H25" s="107">
        <v>40358</v>
      </c>
      <c r="I25" s="24"/>
      <c r="J25" s="21">
        <v>437</v>
      </c>
      <c r="K25" s="21"/>
      <c r="L25" s="6">
        <f t="shared" si="0"/>
        <v>0.74256292906178489</v>
      </c>
      <c r="M25" s="40">
        <f t="shared" si="1"/>
        <v>335.63844393592677</v>
      </c>
      <c r="N25" s="76"/>
      <c r="O25" s="72"/>
      <c r="P25" s="75"/>
      <c r="Q25" s="75"/>
      <c r="R25" s="74"/>
    </row>
    <row r="26" spans="2:18" ht="12.75" x14ac:dyDescent="0.2">
      <c r="B26" s="55">
        <v>2025</v>
      </c>
      <c r="C26" s="111">
        <v>16470</v>
      </c>
      <c r="D26" s="111">
        <v>17021</v>
      </c>
      <c r="E26" s="112">
        <v>0.129</v>
      </c>
      <c r="F26" s="59">
        <v>375</v>
      </c>
      <c r="G26" s="59" t="s">
        <v>24</v>
      </c>
      <c r="H26" s="60"/>
      <c r="I26" s="113"/>
      <c r="J26" s="59">
        <v>452</v>
      </c>
      <c r="K26" s="59"/>
      <c r="L26" s="114">
        <f>F26/J26</f>
        <v>0.82964601769911506</v>
      </c>
      <c r="M26" s="56">
        <f t="shared" si="1"/>
        <v>375</v>
      </c>
      <c r="N26" s="76"/>
      <c r="O26" s="72"/>
      <c r="P26" s="75"/>
      <c r="Q26" s="75"/>
      <c r="R26" s="74"/>
    </row>
    <row r="27" spans="2:18" ht="12.75" x14ac:dyDescent="0.2">
      <c r="B27" s="19">
        <v>2007</v>
      </c>
      <c r="C27" s="96">
        <v>12737.725198699707</v>
      </c>
      <c r="D27" s="96">
        <v>13037.875</v>
      </c>
      <c r="E27" s="97">
        <v>0.12747448447970322</v>
      </c>
      <c r="F27" s="21">
        <v>481</v>
      </c>
      <c r="G27" s="21"/>
      <c r="H27" s="35">
        <v>39451</v>
      </c>
      <c r="I27" s="65"/>
      <c r="J27" s="21">
        <v>483</v>
      </c>
      <c r="K27" s="21"/>
      <c r="L27" s="6">
        <f t="shared" si="0"/>
        <v>0.99585921325051763</v>
      </c>
      <c r="M27" s="40">
        <f t="shared" si="1"/>
        <v>450.12836438923398</v>
      </c>
      <c r="N27" s="76"/>
      <c r="O27" s="105"/>
      <c r="P27" s="75"/>
      <c r="Q27" s="75"/>
      <c r="R27" s="74"/>
    </row>
    <row r="28" spans="2:18" ht="12.75" x14ac:dyDescent="0.2">
      <c r="B28" s="99">
        <v>2015</v>
      </c>
      <c r="C28" s="100">
        <v>13663.716000117587</v>
      </c>
      <c r="D28" s="100">
        <v>13601.964</v>
      </c>
      <c r="E28" s="101">
        <v>0.127</v>
      </c>
      <c r="F28" s="32">
        <v>333</v>
      </c>
      <c r="G28" s="39"/>
      <c r="H28" s="102">
        <v>42557</v>
      </c>
      <c r="I28" s="39"/>
      <c r="J28" s="32">
        <v>363.75</v>
      </c>
      <c r="K28" s="32"/>
      <c r="L28" s="110">
        <f t="shared" si="0"/>
        <v>0.91546391752577316</v>
      </c>
      <c r="M28" s="30">
        <f t="shared" si="1"/>
        <v>413.78969072164949</v>
      </c>
      <c r="N28" s="76"/>
      <c r="O28" s="72"/>
      <c r="P28" s="87"/>
      <c r="Q28" s="75"/>
      <c r="R28" s="74"/>
    </row>
    <row r="29" spans="2:18" ht="12.75" x14ac:dyDescent="0.2">
      <c r="B29" s="19">
        <v>2014</v>
      </c>
      <c r="C29" s="96">
        <v>13758.845984368296</v>
      </c>
      <c r="D29" s="96">
        <v>14215.531999999999</v>
      </c>
      <c r="E29" s="97">
        <v>0.12508348824661558</v>
      </c>
      <c r="F29" s="21">
        <v>348.25</v>
      </c>
      <c r="G29" s="21"/>
      <c r="H29" s="35">
        <v>42156</v>
      </c>
      <c r="I29" s="65"/>
      <c r="J29" s="21">
        <v>411.25</v>
      </c>
      <c r="K29" s="21"/>
      <c r="L29" s="6">
        <f t="shared" si="0"/>
        <v>0.84680851063829787</v>
      </c>
      <c r="M29" s="40">
        <f t="shared" si="1"/>
        <v>382.75744680851062</v>
      </c>
      <c r="N29" s="76"/>
      <c r="O29" s="105"/>
      <c r="P29" s="75"/>
      <c r="Q29" s="75"/>
      <c r="R29" s="74"/>
    </row>
    <row r="30" spans="2:18" ht="12.75" x14ac:dyDescent="0.2">
      <c r="B30" s="29">
        <v>2023</v>
      </c>
      <c r="C30" s="100">
        <v>14966</v>
      </c>
      <c r="D30" s="100">
        <v>15341</v>
      </c>
      <c r="E30" s="101">
        <v>0.1178</v>
      </c>
      <c r="F30" s="32">
        <v>390.5</v>
      </c>
      <c r="G30" s="32"/>
      <c r="H30" s="37">
        <v>45471</v>
      </c>
      <c r="I30" s="109"/>
      <c r="J30" s="32">
        <v>487.75</v>
      </c>
      <c r="K30" s="32"/>
      <c r="L30" s="110">
        <f t="shared" si="0"/>
        <v>0.80061506919528447</v>
      </c>
      <c r="M30" s="30">
        <f t="shared" si="1"/>
        <v>361.87801127626858</v>
      </c>
      <c r="N30" s="76"/>
      <c r="O30" s="72"/>
      <c r="P30" s="75"/>
      <c r="Q30" s="75"/>
      <c r="R30" s="74"/>
    </row>
    <row r="31" spans="2:18" ht="12.75" x14ac:dyDescent="0.2">
      <c r="B31" s="106">
        <v>2006</v>
      </c>
      <c r="C31" s="96">
        <v>11206.817848151917</v>
      </c>
      <c r="D31" s="96">
        <v>10531.123</v>
      </c>
      <c r="E31" s="97">
        <v>0.11632072275209228</v>
      </c>
      <c r="F31" s="21">
        <v>318</v>
      </c>
      <c r="G31" s="24"/>
      <c r="H31" s="107">
        <v>39266</v>
      </c>
      <c r="I31" s="24"/>
      <c r="J31" s="21">
        <v>402.5</v>
      </c>
      <c r="K31" s="21"/>
      <c r="L31" s="6">
        <f t="shared" si="0"/>
        <v>0.7900621118012422</v>
      </c>
      <c r="M31" s="40">
        <f t="shared" si="1"/>
        <v>357.10807453416146</v>
      </c>
      <c r="N31" s="76"/>
      <c r="O31" s="105"/>
      <c r="P31" s="75"/>
      <c r="Q31" s="75"/>
      <c r="R31" s="74"/>
    </row>
    <row r="32" spans="2:18" ht="12.75" x14ac:dyDescent="0.2">
      <c r="B32" s="29">
        <v>2002</v>
      </c>
      <c r="C32" s="100">
        <v>9486</v>
      </c>
      <c r="D32" s="100">
        <v>8966.7870000000003</v>
      </c>
      <c r="E32" s="101">
        <v>0.1145598777145265</v>
      </c>
      <c r="F32" s="32">
        <v>220.25</v>
      </c>
      <c r="G32" s="32"/>
      <c r="H32" s="37">
        <v>37817</v>
      </c>
      <c r="I32" s="109"/>
      <c r="J32" s="32">
        <v>244.5</v>
      </c>
      <c r="K32" s="32"/>
      <c r="L32" s="110">
        <f t="shared" si="0"/>
        <v>0.90081799591002043</v>
      </c>
      <c r="M32" s="30">
        <f t="shared" si="1"/>
        <v>407.16973415132924</v>
      </c>
      <c r="N32" s="76"/>
      <c r="O32" s="105"/>
      <c r="P32" s="75"/>
      <c r="Q32" s="75"/>
      <c r="R32" s="74"/>
    </row>
    <row r="33" spans="2:29" ht="12.75" x14ac:dyDescent="0.2">
      <c r="B33" s="106">
        <v>1993</v>
      </c>
      <c r="C33" s="96">
        <v>7621</v>
      </c>
      <c r="D33" s="96">
        <v>6338</v>
      </c>
      <c r="E33" s="97">
        <v>0.11153391943314525</v>
      </c>
      <c r="F33" s="21">
        <v>223.75</v>
      </c>
      <c r="G33" s="24"/>
      <c r="H33" s="107">
        <v>34535</v>
      </c>
      <c r="I33" s="24"/>
      <c r="J33" s="21">
        <v>309.25</v>
      </c>
      <c r="K33" s="21"/>
      <c r="L33" s="6">
        <f t="shared" si="0"/>
        <v>0.72352465642683916</v>
      </c>
      <c r="M33" s="40">
        <f t="shared" si="1"/>
        <v>327.03314470493132</v>
      </c>
      <c r="N33" s="76"/>
      <c r="O33" s="105"/>
      <c r="P33" s="75"/>
      <c r="Q33" s="75"/>
      <c r="R33" s="74"/>
      <c r="S33" s="81" t="s">
        <v>25</v>
      </c>
    </row>
    <row r="34" spans="2:29" s="118" customFormat="1" ht="12.75" x14ac:dyDescent="0.2">
      <c r="B34" s="29">
        <v>2024</v>
      </c>
      <c r="C34" s="100">
        <v>15126</v>
      </c>
      <c r="D34" s="100">
        <v>14892</v>
      </c>
      <c r="E34" s="101">
        <v>0.10299999999999999</v>
      </c>
      <c r="F34" s="32">
        <v>398.75</v>
      </c>
      <c r="G34" s="32"/>
      <c r="H34" s="37">
        <v>45852</v>
      </c>
      <c r="I34" s="109"/>
      <c r="J34" s="32">
        <v>470.25</v>
      </c>
      <c r="K34" s="32"/>
      <c r="L34" s="110">
        <f>F34/J34</f>
        <v>0.84795321637426901</v>
      </c>
      <c r="M34" s="30">
        <f t="shared" si="1"/>
        <v>383.27485380116957</v>
      </c>
      <c r="N34" s="104"/>
      <c r="O34" s="115"/>
      <c r="P34" s="116"/>
      <c r="Q34" s="116"/>
      <c r="R34" s="117"/>
    </row>
    <row r="35" spans="2:29" ht="12.75" x14ac:dyDescent="0.2">
      <c r="B35" s="106">
        <v>1996</v>
      </c>
      <c r="C35" s="96">
        <v>8789</v>
      </c>
      <c r="D35" s="96">
        <v>9233</v>
      </c>
      <c r="E35" s="97">
        <v>0.1004664922061668</v>
      </c>
      <c r="F35" s="21">
        <v>240</v>
      </c>
      <c r="G35" s="24"/>
      <c r="H35" s="107">
        <v>35611</v>
      </c>
      <c r="I35" s="24"/>
      <c r="J35" s="21">
        <v>262.75</v>
      </c>
      <c r="K35" s="21"/>
      <c r="L35" s="6">
        <f t="shared" si="0"/>
        <v>0.91341579448144627</v>
      </c>
      <c r="M35" s="40">
        <f t="shared" si="1"/>
        <v>412.86393910561372</v>
      </c>
      <c r="N35" s="76"/>
      <c r="O35" s="72"/>
      <c r="P35" s="75"/>
      <c r="Q35" s="75"/>
      <c r="R35" s="74"/>
    </row>
    <row r="36" spans="2:29" s="118" customFormat="1" ht="12.75" x14ac:dyDescent="0.2">
      <c r="B36" s="29">
        <v>2022</v>
      </c>
      <c r="C36" s="100">
        <v>13706</v>
      </c>
      <c r="D36" s="100">
        <v>13651</v>
      </c>
      <c r="E36" s="101">
        <v>9.8699999999999996E-2</v>
      </c>
      <c r="F36" s="32">
        <v>545.5</v>
      </c>
      <c r="G36" s="32"/>
      <c r="H36" s="37">
        <v>45112</v>
      </c>
      <c r="I36" s="109"/>
      <c r="J36" s="32">
        <v>664.75</v>
      </c>
      <c r="K36" s="32"/>
      <c r="L36" s="110">
        <f t="shared" si="0"/>
        <v>0.82060925159834519</v>
      </c>
      <c r="M36" s="30">
        <f t="shared" si="1"/>
        <v>370.91538172245203</v>
      </c>
      <c r="N36" s="104"/>
      <c r="O36" s="115"/>
      <c r="P36" s="116"/>
      <c r="Q36" s="116"/>
      <c r="R36" s="117"/>
      <c r="AB36" s="104"/>
    </row>
    <row r="37" spans="2:29" ht="12.75" x14ac:dyDescent="0.2">
      <c r="B37" s="19">
        <v>2003</v>
      </c>
      <c r="C37" s="96">
        <v>10230</v>
      </c>
      <c r="D37" s="96">
        <v>10087.291999999999</v>
      </c>
      <c r="E37" s="97">
        <v>9.3646823069403501E-2</v>
      </c>
      <c r="F37" s="21">
        <v>239.5</v>
      </c>
      <c r="G37" s="21"/>
      <c r="H37" s="35">
        <v>38180</v>
      </c>
      <c r="I37" s="65"/>
      <c r="J37" s="21">
        <v>258.5</v>
      </c>
      <c r="K37" s="21"/>
      <c r="L37" s="6">
        <f t="shared" si="0"/>
        <v>0.92649903288201163</v>
      </c>
      <c r="M37" s="40">
        <f t="shared" si="1"/>
        <v>418.77756286266924</v>
      </c>
      <c r="N37" s="76"/>
      <c r="O37" s="105"/>
      <c r="P37" s="75"/>
      <c r="Q37" s="75"/>
      <c r="R37" s="74"/>
    </row>
    <row r="38" spans="2:29" ht="12.75" x14ac:dyDescent="0.2">
      <c r="B38" s="99">
        <v>2021</v>
      </c>
      <c r="C38" s="100">
        <v>14900</v>
      </c>
      <c r="D38" s="100">
        <v>15018</v>
      </c>
      <c r="E38" s="101">
        <v>9.1999999999999998E-2</v>
      </c>
      <c r="F38" s="32">
        <v>584.75</v>
      </c>
      <c r="G38" s="39"/>
      <c r="H38" s="102">
        <v>44574</v>
      </c>
      <c r="I38" s="39"/>
      <c r="J38" s="32">
        <v>589.75</v>
      </c>
      <c r="K38" s="32"/>
      <c r="L38" s="110">
        <f t="shared" si="0"/>
        <v>0.9915218312844426</v>
      </c>
      <c r="M38" s="30">
        <f t="shared" si="1"/>
        <v>448.16786774056806</v>
      </c>
      <c r="N38" s="76"/>
      <c r="O38" s="105"/>
      <c r="P38" s="75"/>
      <c r="Q38" s="75"/>
      <c r="R38" s="74"/>
    </row>
    <row r="39" spans="2:29" ht="12.75" x14ac:dyDescent="0.2">
      <c r="B39" s="19">
        <v>2013</v>
      </c>
      <c r="C39" s="96">
        <v>13506.29045370657</v>
      </c>
      <c r="D39" s="96">
        <v>13828.964</v>
      </c>
      <c r="E39" s="97">
        <v>9.0759588808237715E-2</v>
      </c>
      <c r="F39" s="21">
        <v>390</v>
      </c>
      <c r="G39" s="21"/>
      <c r="H39" s="35">
        <v>41834</v>
      </c>
      <c r="I39" s="65"/>
      <c r="J39" s="21">
        <v>436</v>
      </c>
      <c r="K39" s="21"/>
      <c r="L39" s="6">
        <f t="shared" si="0"/>
        <v>0.89449541284403666</v>
      </c>
      <c r="M39" s="40">
        <f t="shared" si="1"/>
        <v>404.3119266055046</v>
      </c>
      <c r="N39" s="76"/>
      <c r="O39" s="105"/>
      <c r="P39" s="75"/>
      <c r="Q39" s="75"/>
      <c r="R39" s="74"/>
      <c r="AB39" s="76"/>
    </row>
    <row r="40" spans="2:29" ht="12.75" x14ac:dyDescent="0.2">
      <c r="B40" s="99">
        <v>2010</v>
      </c>
      <c r="C40" s="100">
        <v>13051.799698263472</v>
      </c>
      <c r="D40" s="100">
        <v>12446.865</v>
      </c>
      <c r="E40" s="101">
        <v>8.593434857452488E-2</v>
      </c>
      <c r="F40" s="32">
        <v>608</v>
      </c>
      <c r="G40" s="39"/>
      <c r="H40" s="102">
        <v>40550</v>
      </c>
      <c r="I40" s="39"/>
      <c r="J40" s="32">
        <v>632</v>
      </c>
      <c r="K40" s="32"/>
      <c r="L40" s="110">
        <f t="shared" si="0"/>
        <v>0.96202531645569622</v>
      </c>
      <c r="M40" s="30">
        <f t="shared" si="1"/>
        <v>434.8354430379747</v>
      </c>
      <c r="N40" s="76"/>
      <c r="O40" s="105"/>
      <c r="P40" s="75"/>
      <c r="Q40" s="75"/>
      <c r="R40" s="74"/>
      <c r="AB40" s="76"/>
    </row>
    <row r="41" spans="2:29" ht="12.75" x14ac:dyDescent="0.2">
      <c r="B41" s="19" t="s">
        <v>53</v>
      </c>
      <c r="C41" s="96">
        <v>14881</v>
      </c>
      <c r="D41" s="96">
        <v>14087</v>
      </c>
      <c r="E41" s="97">
        <v>8.3000000000000004E-2</v>
      </c>
      <c r="F41" s="21">
        <v>478.25</v>
      </c>
      <c r="G41" s="21"/>
      <c r="H41" s="35">
        <v>44200</v>
      </c>
      <c r="I41" s="65"/>
      <c r="J41" s="21">
        <v>482.25</v>
      </c>
      <c r="K41" s="21"/>
      <c r="L41" s="6">
        <f t="shared" si="0"/>
        <v>0.99170554691550028</v>
      </c>
      <c r="M41" s="40">
        <f t="shared" si="1"/>
        <v>448.25090720580613</v>
      </c>
      <c r="N41" s="76"/>
      <c r="O41" s="105"/>
      <c r="P41" s="75"/>
      <c r="Q41" s="75"/>
      <c r="R41" s="74"/>
    </row>
    <row r="42" spans="2:29" ht="12.75" x14ac:dyDescent="0.2">
      <c r="B42" s="99">
        <v>2011</v>
      </c>
      <c r="C42" s="100">
        <v>12507.640589488681</v>
      </c>
      <c r="D42" s="100">
        <v>12359.611999999999</v>
      </c>
      <c r="E42" s="101">
        <v>7.8250312907931441E-2</v>
      </c>
      <c r="F42" s="32">
        <v>551</v>
      </c>
      <c r="G42" s="39"/>
      <c r="H42" s="102">
        <v>41061</v>
      </c>
      <c r="I42" s="39"/>
      <c r="J42" s="32">
        <v>673.75</v>
      </c>
      <c r="K42" s="32"/>
      <c r="L42" s="110">
        <f t="shared" si="0"/>
        <v>0.81781076066790348</v>
      </c>
      <c r="M42" s="30">
        <f t="shared" si="1"/>
        <v>369.65046382189234</v>
      </c>
      <c r="N42" s="119"/>
      <c r="O42" s="72"/>
      <c r="P42" s="75"/>
      <c r="Q42" s="75"/>
      <c r="R42" s="74"/>
      <c r="AB42" s="119"/>
    </row>
    <row r="43" spans="2:29" s="123" customFormat="1" ht="12.75" x14ac:dyDescent="0.2">
      <c r="B43" s="19">
        <v>2012</v>
      </c>
      <c r="C43" s="96">
        <v>11047.535124200811</v>
      </c>
      <c r="D43" s="96">
        <v>10755.111000000001</v>
      </c>
      <c r="E43" s="97">
        <v>7.3063793049267398E-2</v>
      </c>
      <c r="F43" s="21">
        <v>610</v>
      </c>
      <c r="G43" s="21"/>
      <c r="H43" s="35">
        <v>41388</v>
      </c>
      <c r="I43" s="65"/>
      <c r="J43" s="21">
        <v>690.75</v>
      </c>
      <c r="K43" s="21"/>
      <c r="L43" s="6">
        <f t="shared" si="0"/>
        <v>0.88309808179515015</v>
      </c>
      <c r="M43" s="40">
        <f t="shared" si="1"/>
        <v>399.16033297140785</v>
      </c>
      <c r="N43" s="76"/>
      <c r="O43" s="120"/>
      <c r="P43" s="121"/>
      <c r="Q43" s="122"/>
      <c r="R43" s="87"/>
      <c r="X43" s="95"/>
      <c r="Y43" s="124"/>
      <c r="Z43" s="76"/>
      <c r="AA43" s="76"/>
      <c r="AB43" s="80"/>
      <c r="AC43" s="76"/>
    </row>
    <row r="44" spans="2:29" ht="12.75" x14ac:dyDescent="0.2">
      <c r="B44" s="99">
        <v>1995</v>
      </c>
      <c r="C44" s="100">
        <v>8548</v>
      </c>
      <c r="D44" s="100">
        <v>7400</v>
      </c>
      <c r="E44" s="101">
        <v>4.9836218998596166E-2</v>
      </c>
      <c r="F44" s="32">
        <v>349.5</v>
      </c>
      <c r="G44" s="39"/>
      <c r="H44" s="102">
        <v>35081</v>
      </c>
      <c r="I44" s="39"/>
      <c r="J44" s="32">
        <v>372.75</v>
      </c>
      <c r="K44" s="32"/>
      <c r="L44" s="110">
        <f t="shared" si="0"/>
        <v>0.93762575452716301</v>
      </c>
      <c r="M44" s="30">
        <f t="shared" si="1"/>
        <v>423.80684104627767</v>
      </c>
      <c r="N44" s="76"/>
      <c r="O44" s="72"/>
      <c r="P44" s="75"/>
      <c r="Q44" s="75"/>
      <c r="R44" s="74"/>
      <c r="AB44" s="76"/>
    </row>
    <row r="45" spans="2:29" ht="12.75" x14ac:dyDescent="0.2">
      <c r="B45" s="19"/>
      <c r="C45" s="96"/>
      <c r="D45" s="96"/>
      <c r="E45" s="97"/>
      <c r="F45" s="21"/>
      <c r="G45" s="21"/>
      <c r="H45" s="35"/>
      <c r="I45" s="65"/>
      <c r="J45" s="21"/>
      <c r="K45" s="21"/>
      <c r="L45" s="40"/>
      <c r="M45" s="21"/>
      <c r="N45" s="76"/>
      <c r="O45" s="105"/>
      <c r="P45" s="75"/>
      <c r="Q45" s="75"/>
      <c r="R45" s="74"/>
      <c r="AB45" s="76"/>
    </row>
    <row r="46" spans="2:29" ht="12.75" x14ac:dyDescent="0.2">
      <c r="B46" s="66" t="s">
        <v>22</v>
      </c>
      <c r="C46" s="96"/>
      <c r="D46" s="96"/>
      <c r="E46" s="49">
        <f>MEDIAN(E9:E44)</f>
        <v>0.12823724223985161</v>
      </c>
      <c r="F46" s="21"/>
      <c r="G46" s="21"/>
      <c r="H46" s="35"/>
      <c r="I46" s="125"/>
      <c r="J46" s="51">
        <f>MEDIAN(J9:J44)</f>
        <v>371.25</v>
      </c>
      <c r="K46" s="21"/>
      <c r="L46" s="49">
        <f>MEDIAN(L9:L44)</f>
        <v>0.88745843913963052</v>
      </c>
      <c r="M46" s="51">
        <f>MEDIAN(M9:M44)</f>
        <v>401.13121449111298</v>
      </c>
      <c r="N46" s="76"/>
      <c r="O46" s="105"/>
      <c r="P46" s="75"/>
      <c r="Q46" s="75"/>
      <c r="R46" s="74"/>
      <c r="AB46" s="76"/>
    </row>
    <row r="47" spans="2:29" ht="12.75" x14ac:dyDescent="0.2">
      <c r="B47" s="19"/>
      <c r="C47" s="96"/>
      <c r="D47" s="96"/>
      <c r="E47" s="97"/>
      <c r="F47" s="21"/>
      <c r="G47" s="21"/>
      <c r="H47" s="35"/>
      <c r="I47" s="65"/>
      <c r="J47" s="21"/>
      <c r="K47" s="21"/>
      <c r="L47" s="40"/>
      <c r="M47" s="21"/>
      <c r="N47" s="76"/>
      <c r="O47" s="105"/>
      <c r="P47" s="75"/>
      <c r="Q47" s="75"/>
      <c r="R47" s="74"/>
      <c r="AB47" s="76"/>
    </row>
    <row r="48" spans="2:29" ht="12.75" x14ac:dyDescent="0.2">
      <c r="B48" s="19"/>
      <c r="C48" s="96"/>
      <c r="D48" s="96"/>
      <c r="E48" s="97"/>
      <c r="F48" s="21"/>
      <c r="G48" s="21"/>
      <c r="H48" s="35"/>
      <c r="I48" s="125"/>
      <c r="J48" s="21"/>
      <c r="K48" s="21"/>
      <c r="L48" s="40"/>
      <c r="M48" s="21"/>
      <c r="N48" s="76"/>
      <c r="O48" s="105"/>
      <c r="P48" s="75"/>
      <c r="Q48" s="75"/>
      <c r="R48" s="74"/>
      <c r="AB48" s="76"/>
    </row>
    <row r="49" spans="2:29" ht="12.75" x14ac:dyDescent="0.2">
      <c r="B49" s="4"/>
      <c r="C49" s="4"/>
      <c r="D49" s="4"/>
      <c r="E49" s="126" t="s">
        <v>54</v>
      </c>
      <c r="F49" s="4"/>
      <c r="G49" s="4"/>
      <c r="H49" s="125"/>
      <c r="I49" s="4"/>
      <c r="J49" s="4"/>
      <c r="K49" s="4"/>
      <c r="L49" s="4"/>
      <c r="M49" s="4"/>
      <c r="N49" s="119"/>
      <c r="O49" s="72"/>
      <c r="P49" s="75"/>
      <c r="Q49" s="75"/>
      <c r="R49" s="74"/>
    </row>
    <row r="50" spans="2:29" ht="12.75" x14ac:dyDescent="0.2">
      <c r="B50" s="4"/>
      <c r="C50" s="4"/>
      <c r="D50" s="4"/>
      <c r="E50" s="4"/>
      <c r="F50" s="4"/>
      <c r="G50" s="4"/>
      <c r="H50" s="125"/>
      <c r="I50" s="4"/>
      <c r="J50" s="4"/>
      <c r="K50" s="4"/>
      <c r="L50" s="4"/>
      <c r="M50" s="4"/>
      <c r="N50" s="119"/>
      <c r="O50" s="72"/>
      <c r="P50" s="75"/>
      <c r="Q50" s="75"/>
      <c r="R50" s="74"/>
    </row>
    <row r="51" spans="2:29" ht="12.75" x14ac:dyDescent="0.2">
      <c r="B51" s="19">
        <v>1992</v>
      </c>
      <c r="C51" s="96">
        <v>8469</v>
      </c>
      <c r="D51" s="96">
        <v>9477</v>
      </c>
      <c r="E51" s="97">
        <v>0.249</v>
      </c>
      <c r="F51" s="21">
        <v>211.5</v>
      </c>
      <c r="G51" s="21"/>
      <c r="H51" s="35">
        <v>34136</v>
      </c>
      <c r="I51" s="65"/>
      <c r="J51" s="21">
        <v>229</v>
      </c>
      <c r="K51" s="4"/>
      <c r="L51" s="98">
        <f t="shared" ref="L51:L58" si="2">F51/J51</f>
        <v>0.92358078602620086</v>
      </c>
      <c r="M51" s="40">
        <f t="shared" ref="M51:M58" si="3">L51*J$26</f>
        <v>417.45851528384281</v>
      </c>
      <c r="N51" s="119"/>
      <c r="O51" s="72"/>
      <c r="P51" s="75"/>
      <c r="Q51" s="75"/>
      <c r="R51" s="74"/>
    </row>
    <row r="52" spans="2:29" ht="12.75" x14ac:dyDescent="0.2">
      <c r="B52" s="99">
        <v>2004</v>
      </c>
      <c r="C52" s="100">
        <v>10661</v>
      </c>
      <c r="D52" s="100">
        <v>11807.085999999999</v>
      </c>
      <c r="E52" s="101">
        <v>0.19830156645718011</v>
      </c>
      <c r="F52" s="32">
        <v>203</v>
      </c>
      <c r="G52" s="39"/>
      <c r="H52" s="102">
        <v>38484</v>
      </c>
      <c r="I52" s="39"/>
      <c r="J52" s="32">
        <v>217.25</v>
      </c>
      <c r="K52" s="36"/>
      <c r="L52" s="103">
        <f t="shared" si="2"/>
        <v>0.93440736478711162</v>
      </c>
      <c r="M52" s="30">
        <f t="shared" si="3"/>
        <v>422.35212888377447</v>
      </c>
      <c r="N52" s="119"/>
      <c r="O52" s="72"/>
      <c r="P52" s="75"/>
      <c r="Q52" s="75"/>
      <c r="R52" s="74"/>
    </row>
    <row r="53" spans="2:29" ht="12.75" x14ac:dyDescent="0.2">
      <c r="B53" s="19">
        <v>1990</v>
      </c>
      <c r="C53" s="96">
        <v>7761</v>
      </c>
      <c r="D53" s="96">
        <v>7934</v>
      </c>
      <c r="E53" s="97">
        <v>0.19600000000000001</v>
      </c>
      <c r="F53" s="21">
        <v>223</v>
      </c>
      <c r="G53" s="21"/>
      <c r="H53" s="35">
        <v>33417</v>
      </c>
      <c r="I53" s="65"/>
      <c r="J53" s="21">
        <v>245.25</v>
      </c>
      <c r="K53" s="4"/>
      <c r="L53" s="98">
        <f t="shared" si="2"/>
        <v>0.90927624872579005</v>
      </c>
      <c r="M53" s="40">
        <f t="shared" si="3"/>
        <v>410.99286442405707</v>
      </c>
      <c r="N53" s="127"/>
      <c r="O53" s="72"/>
      <c r="P53" s="75"/>
      <c r="Q53" s="75"/>
      <c r="R53" s="74"/>
    </row>
    <row r="54" spans="2:29" ht="12.75" x14ac:dyDescent="0.2">
      <c r="B54" s="99">
        <v>1994</v>
      </c>
      <c r="C54" s="100">
        <v>9352</v>
      </c>
      <c r="D54" s="100">
        <v>10051</v>
      </c>
      <c r="E54" s="101">
        <v>0.16659538066723695</v>
      </c>
      <c r="F54" s="32">
        <v>240.5</v>
      </c>
      <c r="G54" s="39"/>
      <c r="H54" s="102">
        <v>34702</v>
      </c>
      <c r="I54" s="39"/>
      <c r="J54" s="32">
        <v>240.75</v>
      </c>
      <c r="K54" s="36"/>
      <c r="L54" s="103">
        <f t="shared" si="2"/>
        <v>0.99896157840083077</v>
      </c>
      <c r="M54" s="30">
        <f t="shared" si="3"/>
        <v>451.53063343717554</v>
      </c>
      <c r="N54" s="128"/>
      <c r="O54" s="72"/>
      <c r="P54" s="75"/>
      <c r="Q54" s="75"/>
      <c r="R54" s="74"/>
    </row>
    <row r="55" spans="2:29" ht="12.75" x14ac:dyDescent="0.2">
      <c r="B55" s="19">
        <v>2001</v>
      </c>
      <c r="C55" s="96">
        <v>9816</v>
      </c>
      <c r="D55" s="96">
        <v>9502.58</v>
      </c>
      <c r="E55" s="97">
        <v>0.1625843520782394</v>
      </c>
      <c r="F55" s="21">
        <v>198</v>
      </c>
      <c r="G55" s="21"/>
      <c r="H55" s="35">
        <v>37382</v>
      </c>
      <c r="I55" s="65"/>
      <c r="J55" s="21">
        <v>221.5</v>
      </c>
      <c r="K55" s="4"/>
      <c r="L55" s="98">
        <f t="shared" si="2"/>
        <v>0.89390519187358919</v>
      </c>
      <c r="M55" s="40">
        <f t="shared" si="3"/>
        <v>404.0451467268623</v>
      </c>
      <c r="N55" s="128"/>
      <c r="Y55" s="76"/>
    </row>
    <row r="56" spans="2:29" s="108" customFormat="1" ht="12.75" x14ac:dyDescent="0.2">
      <c r="B56" s="99">
        <v>2018</v>
      </c>
      <c r="C56" s="100">
        <v>14288</v>
      </c>
      <c r="D56" s="100">
        <v>14340</v>
      </c>
      <c r="E56" s="101">
        <v>0.155</v>
      </c>
      <c r="F56" s="32">
        <v>343</v>
      </c>
      <c r="G56" s="39"/>
      <c r="H56" s="102">
        <v>43598</v>
      </c>
      <c r="I56" s="39"/>
      <c r="J56" s="32">
        <v>391</v>
      </c>
      <c r="K56" s="36"/>
      <c r="L56" s="103">
        <f t="shared" si="2"/>
        <v>0.87723785166240409</v>
      </c>
      <c r="M56" s="30">
        <f t="shared" si="3"/>
        <v>396.51150895140665</v>
      </c>
      <c r="N56" s="76"/>
      <c r="O56" s="72"/>
      <c r="P56" s="75"/>
      <c r="Q56" s="75"/>
      <c r="R56" s="74"/>
    </row>
    <row r="57" spans="2:29" ht="15" x14ac:dyDescent="0.2">
      <c r="B57" s="19">
        <v>2011</v>
      </c>
      <c r="C57" s="96">
        <v>12507.640589488681</v>
      </c>
      <c r="D57" s="96">
        <v>12359.611999999999</v>
      </c>
      <c r="E57" s="97">
        <v>7.8250312907931441E-2</v>
      </c>
      <c r="F57" s="21">
        <v>551</v>
      </c>
      <c r="G57" s="21"/>
      <c r="H57" s="35">
        <v>41061</v>
      </c>
      <c r="I57" s="65"/>
      <c r="J57" s="21">
        <v>673.75</v>
      </c>
      <c r="K57" s="4"/>
      <c r="L57" s="98">
        <f t="shared" si="2"/>
        <v>0.81781076066790348</v>
      </c>
      <c r="M57" s="40">
        <f t="shared" si="3"/>
        <v>369.65046382189234</v>
      </c>
      <c r="N57" s="129"/>
      <c r="Y57" s="76"/>
    </row>
    <row r="58" spans="2:29" s="123" customFormat="1" ht="12.75" x14ac:dyDescent="0.2">
      <c r="B58" s="29">
        <v>2012</v>
      </c>
      <c r="C58" s="100">
        <v>11047.535124200811</v>
      </c>
      <c r="D58" s="100">
        <v>10755.111000000001</v>
      </c>
      <c r="E58" s="101">
        <v>7.3063793049267398E-2</v>
      </c>
      <c r="F58" s="32">
        <v>610</v>
      </c>
      <c r="G58" s="32"/>
      <c r="H58" s="37">
        <v>41388</v>
      </c>
      <c r="I58" s="109"/>
      <c r="J58" s="32">
        <v>690.75</v>
      </c>
      <c r="K58" s="32"/>
      <c r="L58" s="110">
        <f t="shared" si="2"/>
        <v>0.88309808179515015</v>
      </c>
      <c r="M58" s="30">
        <f t="shared" si="3"/>
        <v>399.16033297140785</v>
      </c>
      <c r="N58" s="76"/>
      <c r="O58" s="120"/>
      <c r="P58" s="121"/>
      <c r="Q58" s="122"/>
      <c r="R58" s="87"/>
      <c r="X58" s="95"/>
      <c r="Y58" s="124"/>
      <c r="Z58" s="76"/>
      <c r="AA58" s="76"/>
      <c r="AB58" s="80"/>
      <c r="AC58" s="76"/>
    </row>
    <row r="59" spans="2:29" ht="15" x14ac:dyDescent="0.2">
      <c r="N59" s="129"/>
    </row>
    <row r="60" spans="2:29" ht="15" x14ac:dyDescent="0.2">
      <c r="B60" s="66" t="s">
        <v>22</v>
      </c>
      <c r="C60" s="96"/>
      <c r="D60" s="96"/>
      <c r="E60" s="49">
        <f>MEDIAN(E51:E57)</f>
        <v>0.16659538066723695</v>
      </c>
      <c r="F60" s="21"/>
      <c r="G60" s="21"/>
      <c r="H60" s="35"/>
      <c r="I60" s="125"/>
      <c r="J60" s="51">
        <f>MEDIAN(J51:J57)</f>
        <v>240.75</v>
      </c>
      <c r="K60" s="21"/>
      <c r="L60" s="49">
        <f>MEDIAN(L51:L57)</f>
        <v>0.90927624872579005</v>
      </c>
      <c r="M60" s="51">
        <f>MEDIAN(M51:M57)</f>
        <v>410.99286442405707</v>
      </c>
      <c r="N60" s="131"/>
    </row>
    <row r="61" spans="2:29" ht="15" x14ac:dyDescent="0.2">
      <c r="N61" s="129"/>
    </row>
    <row r="62" spans="2:29" ht="15" x14ac:dyDescent="0.2">
      <c r="N62" s="129"/>
    </row>
    <row r="63" spans="2:29" ht="15" x14ac:dyDescent="0.2">
      <c r="B63" s="132"/>
      <c r="C63" s="133"/>
      <c r="D63" s="133"/>
      <c r="E63" s="133"/>
      <c r="F63" s="133"/>
      <c r="G63" s="119"/>
      <c r="H63" s="134"/>
      <c r="I63" s="135"/>
      <c r="J63" s="135"/>
      <c r="K63" s="119"/>
      <c r="L63" s="119"/>
      <c r="M63" s="136"/>
      <c r="N63" s="131"/>
    </row>
    <row r="64" spans="2:29" ht="15" x14ac:dyDescent="0.2">
      <c r="C64" s="133"/>
      <c r="D64" s="133"/>
      <c r="E64" s="133"/>
      <c r="F64" s="133"/>
      <c r="G64" s="127"/>
      <c r="H64" s="135"/>
      <c r="I64" s="127"/>
      <c r="J64" s="127"/>
      <c r="K64" s="119"/>
      <c r="L64" s="119"/>
      <c r="M64" s="127"/>
      <c r="N64" s="131"/>
    </row>
    <row r="65" spans="2:14" ht="19.5" x14ac:dyDescent="0.35">
      <c r="C65" s="137"/>
      <c r="D65" s="137"/>
      <c r="E65" s="138"/>
      <c r="F65" s="138"/>
      <c r="G65" s="139"/>
      <c r="H65" s="140"/>
      <c r="K65" s="139"/>
      <c r="L65" s="139"/>
      <c r="M65" s="128"/>
      <c r="N65" s="131"/>
    </row>
    <row r="66" spans="2:14" ht="15" x14ac:dyDescent="0.2">
      <c r="B66" s="131"/>
      <c r="C66" s="138"/>
      <c r="D66" s="138"/>
      <c r="G66" s="139"/>
      <c r="H66" s="140"/>
      <c r="K66" s="139"/>
      <c r="L66" s="139"/>
      <c r="M66" s="128"/>
      <c r="N66" s="129"/>
    </row>
    <row r="67" spans="2:14" ht="15" x14ac:dyDescent="0.2">
      <c r="B67" s="131"/>
      <c r="C67" s="141"/>
      <c r="D67" s="141"/>
      <c r="E67" s="131"/>
      <c r="F67" s="131"/>
      <c r="G67" s="142"/>
      <c r="H67" s="143"/>
      <c r="I67" s="131"/>
      <c r="J67" s="131"/>
      <c r="K67" s="142"/>
      <c r="L67" s="142"/>
      <c r="M67" s="129"/>
      <c r="N67" s="129"/>
    </row>
    <row r="68" spans="2:14" ht="15" x14ac:dyDescent="0.2">
      <c r="B68" s="131"/>
      <c r="C68" s="141"/>
      <c r="D68" s="141"/>
      <c r="E68" s="131"/>
      <c r="F68" s="131"/>
      <c r="G68" s="142"/>
      <c r="H68" s="143"/>
      <c r="I68" s="131"/>
      <c r="J68" s="131"/>
      <c r="K68" s="142"/>
      <c r="L68" s="142"/>
      <c r="M68" s="129"/>
      <c r="N68" s="129"/>
    </row>
    <row r="69" spans="2:14" ht="15" x14ac:dyDescent="0.2">
      <c r="B69" s="131"/>
      <c r="C69" s="141"/>
      <c r="D69" s="141"/>
      <c r="E69" s="131"/>
      <c r="F69" s="131"/>
      <c r="G69" s="142"/>
      <c r="H69" s="143"/>
      <c r="I69" s="144"/>
      <c r="J69" s="144"/>
      <c r="K69" s="131"/>
      <c r="L69" s="131"/>
      <c r="M69" s="129"/>
      <c r="N69" s="129"/>
    </row>
    <row r="70" spans="2:14" ht="15" x14ac:dyDescent="0.2">
      <c r="B70" s="145"/>
      <c r="C70" s="131"/>
      <c r="D70" s="131"/>
      <c r="E70" s="131"/>
      <c r="F70" s="131"/>
      <c r="G70" s="131"/>
      <c r="H70" s="144"/>
      <c r="I70" s="144"/>
      <c r="J70" s="144"/>
      <c r="K70" s="142"/>
      <c r="L70" s="142"/>
      <c r="M70" s="131"/>
      <c r="N70" s="129"/>
    </row>
    <row r="71" spans="2:14" ht="15" x14ac:dyDescent="0.2">
      <c r="B71" s="145"/>
      <c r="C71" s="141"/>
      <c r="D71" s="141"/>
      <c r="E71" s="131"/>
      <c r="F71" s="131"/>
      <c r="G71" s="142"/>
      <c r="H71" s="143"/>
      <c r="I71" s="144"/>
      <c r="J71" s="144"/>
      <c r="K71" s="142"/>
      <c r="L71" s="142"/>
      <c r="M71" s="129"/>
      <c r="N71" s="129"/>
    </row>
    <row r="72" spans="2:14" ht="15" x14ac:dyDescent="0.2">
      <c r="B72" s="131"/>
      <c r="C72" s="131"/>
      <c r="D72" s="131"/>
      <c r="E72" s="131"/>
      <c r="F72" s="131"/>
      <c r="G72" s="131"/>
      <c r="H72" s="144"/>
      <c r="I72" s="144"/>
      <c r="J72" s="144"/>
      <c r="K72" s="142"/>
      <c r="L72" s="142"/>
      <c r="M72" s="129"/>
      <c r="N72" s="129"/>
    </row>
    <row r="73" spans="2:14" ht="15" x14ac:dyDescent="0.2">
      <c r="B73" s="131"/>
      <c r="C73" s="131"/>
      <c r="D73" s="131"/>
      <c r="E73" s="131"/>
      <c r="F73" s="131"/>
      <c r="G73" s="131"/>
      <c r="H73" s="144"/>
      <c r="I73" s="131"/>
      <c r="J73" s="131"/>
      <c r="K73" s="131"/>
      <c r="L73" s="131"/>
      <c r="M73" s="131"/>
      <c r="N73" s="129"/>
    </row>
    <row r="74" spans="2:14" ht="15" x14ac:dyDescent="0.2">
      <c r="B74" s="131"/>
      <c r="C74" s="131"/>
      <c r="D74" s="131"/>
      <c r="E74" s="131"/>
      <c r="F74" s="131"/>
      <c r="G74" s="131"/>
      <c r="H74" s="144"/>
      <c r="I74" s="131"/>
      <c r="J74" s="131"/>
      <c r="K74" s="131"/>
      <c r="L74" s="131"/>
      <c r="M74" s="131"/>
      <c r="N74" s="129"/>
    </row>
    <row r="75" spans="2:14" ht="15" x14ac:dyDescent="0.2">
      <c r="B75" s="145"/>
      <c r="C75" s="131"/>
      <c r="D75" s="131"/>
      <c r="E75" s="131"/>
      <c r="F75" s="131"/>
      <c r="G75" s="131"/>
      <c r="H75" s="144"/>
      <c r="I75" s="131"/>
      <c r="J75" s="131"/>
      <c r="K75" s="131"/>
      <c r="L75" s="131"/>
      <c r="M75" s="131"/>
      <c r="N75" s="129"/>
    </row>
    <row r="76" spans="2:14" ht="15" x14ac:dyDescent="0.2">
      <c r="B76" s="145"/>
      <c r="C76" s="131"/>
      <c r="D76" s="131"/>
      <c r="E76" s="141"/>
      <c r="F76" s="141"/>
      <c r="G76" s="131"/>
      <c r="H76" s="144"/>
      <c r="I76" s="144"/>
      <c r="J76" s="144"/>
      <c r="K76" s="131"/>
      <c r="L76" s="131"/>
      <c r="M76" s="129"/>
      <c r="N76" s="129"/>
    </row>
    <row r="77" spans="2:14" ht="15" x14ac:dyDescent="0.2">
      <c r="B77" s="145"/>
      <c r="C77" s="131"/>
      <c r="D77" s="131"/>
      <c r="E77" s="141"/>
      <c r="F77" s="141"/>
      <c r="G77" s="131"/>
      <c r="H77" s="144"/>
      <c r="I77" s="144"/>
      <c r="J77" s="144"/>
      <c r="K77" s="131"/>
      <c r="L77" s="131"/>
      <c r="M77" s="129"/>
      <c r="N77" s="129"/>
    </row>
    <row r="78" spans="2:14" ht="15" x14ac:dyDescent="0.2">
      <c r="B78" s="145"/>
      <c r="C78" s="131"/>
      <c r="D78" s="131"/>
      <c r="E78" s="141"/>
      <c r="F78" s="141"/>
      <c r="G78" s="131"/>
      <c r="H78" s="144"/>
      <c r="I78" s="144"/>
      <c r="J78" s="144"/>
      <c r="K78" s="131"/>
      <c r="L78" s="131"/>
      <c r="M78" s="129"/>
      <c r="N78" s="129"/>
    </row>
    <row r="79" spans="2:14" ht="15" x14ac:dyDescent="0.2">
      <c r="B79" s="145"/>
      <c r="C79" s="131"/>
      <c r="D79" s="131"/>
      <c r="E79" s="141"/>
      <c r="F79" s="141"/>
      <c r="G79" s="131"/>
      <c r="H79" s="144"/>
      <c r="I79" s="144"/>
      <c r="J79" s="144"/>
      <c r="K79" s="131"/>
      <c r="L79" s="131"/>
      <c r="M79" s="129"/>
      <c r="N79" s="129"/>
    </row>
    <row r="80" spans="2:14" ht="15" x14ac:dyDescent="0.2">
      <c r="B80" s="145"/>
      <c r="C80" s="131"/>
      <c r="D80" s="131"/>
      <c r="E80" s="141"/>
      <c r="F80" s="141"/>
      <c r="G80" s="131"/>
      <c r="H80" s="144"/>
      <c r="I80" s="144"/>
      <c r="J80" s="144"/>
      <c r="K80" s="131"/>
      <c r="L80" s="131"/>
      <c r="M80" s="129"/>
      <c r="N80" s="129"/>
    </row>
    <row r="81" spans="2:14" ht="15" x14ac:dyDescent="0.2">
      <c r="B81" s="145"/>
      <c r="C81" s="131"/>
      <c r="D81" s="131"/>
      <c r="E81" s="141"/>
      <c r="F81" s="141"/>
      <c r="G81" s="131"/>
      <c r="H81" s="144"/>
      <c r="I81" s="144"/>
      <c r="J81" s="144"/>
      <c r="K81" s="131"/>
      <c r="L81" s="131"/>
      <c r="M81" s="129"/>
      <c r="N81" s="129"/>
    </row>
    <row r="82" spans="2:14" ht="15" x14ac:dyDescent="0.2">
      <c r="B82" s="145"/>
      <c r="C82" s="131"/>
      <c r="D82" s="131"/>
      <c r="E82" s="141"/>
      <c r="F82" s="141"/>
      <c r="G82" s="131"/>
      <c r="H82" s="144"/>
      <c r="I82" s="144"/>
      <c r="J82" s="144"/>
      <c r="K82" s="131"/>
      <c r="L82" s="131"/>
      <c r="M82" s="129"/>
      <c r="N82" s="129"/>
    </row>
    <row r="83" spans="2:14" ht="15" x14ac:dyDescent="0.2">
      <c r="B83" s="145"/>
      <c r="C83" s="131"/>
      <c r="D83" s="131"/>
      <c r="E83" s="141"/>
      <c r="F83" s="141"/>
      <c r="G83" s="131"/>
      <c r="H83" s="144"/>
      <c r="I83" s="144"/>
      <c r="J83" s="144"/>
      <c r="K83" s="131"/>
      <c r="L83" s="131"/>
      <c r="M83" s="129"/>
      <c r="N83" s="129"/>
    </row>
    <row r="84" spans="2:14" ht="15" x14ac:dyDescent="0.2">
      <c r="B84" s="145"/>
      <c r="C84" s="131"/>
      <c r="D84" s="131"/>
      <c r="E84" s="141"/>
      <c r="F84" s="141"/>
      <c r="G84" s="131"/>
      <c r="H84" s="144"/>
      <c r="I84" s="144"/>
      <c r="J84" s="144"/>
      <c r="K84" s="131"/>
      <c r="L84" s="131"/>
      <c r="M84" s="129"/>
      <c r="N84" s="129"/>
    </row>
    <row r="85" spans="2:14" ht="15" x14ac:dyDescent="0.2">
      <c r="B85" s="145"/>
      <c r="C85" s="131"/>
      <c r="D85" s="131"/>
      <c r="E85" s="141"/>
      <c r="F85" s="141"/>
      <c r="G85" s="131"/>
      <c r="H85" s="144"/>
      <c r="I85" s="144"/>
      <c r="J85" s="144"/>
      <c r="K85" s="131"/>
      <c r="L85" s="131"/>
      <c r="M85" s="129"/>
      <c r="N85" s="129"/>
    </row>
    <row r="86" spans="2:14" ht="15" x14ac:dyDescent="0.2">
      <c r="B86" s="145"/>
      <c r="C86" s="131"/>
      <c r="D86" s="131"/>
      <c r="E86" s="141"/>
      <c r="F86" s="141"/>
      <c r="G86" s="131"/>
      <c r="H86" s="144"/>
      <c r="I86" s="144"/>
      <c r="J86" s="144"/>
      <c r="K86" s="131"/>
      <c r="L86" s="131"/>
      <c r="M86" s="129"/>
      <c r="N86" s="129"/>
    </row>
    <row r="87" spans="2:14" ht="15" x14ac:dyDescent="0.2">
      <c r="B87" s="145"/>
      <c r="C87" s="131"/>
      <c r="D87" s="131"/>
      <c r="E87" s="141"/>
      <c r="F87" s="141"/>
      <c r="G87" s="131"/>
      <c r="H87" s="144"/>
      <c r="I87" s="144"/>
      <c r="J87" s="144"/>
      <c r="K87" s="131"/>
      <c r="L87" s="131"/>
      <c r="M87" s="129"/>
      <c r="N87" s="129"/>
    </row>
    <row r="88" spans="2:14" ht="15" x14ac:dyDescent="0.2">
      <c r="B88" s="145"/>
      <c r="C88" s="131"/>
      <c r="D88" s="131"/>
      <c r="E88" s="141"/>
      <c r="F88" s="141"/>
      <c r="G88" s="131"/>
      <c r="H88" s="144"/>
      <c r="I88" s="144"/>
      <c r="J88" s="144"/>
      <c r="K88" s="131"/>
      <c r="L88" s="131"/>
      <c r="M88" s="129"/>
      <c r="N88" s="129"/>
    </row>
    <row r="89" spans="2:14" ht="15" x14ac:dyDescent="0.2">
      <c r="B89" s="145"/>
      <c r="C89" s="131"/>
      <c r="D89" s="131"/>
      <c r="E89" s="141"/>
      <c r="F89" s="141"/>
      <c r="G89" s="131"/>
      <c r="H89" s="144"/>
      <c r="I89" s="144"/>
      <c r="J89" s="144"/>
      <c r="K89" s="131"/>
      <c r="L89" s="131"/>
      <c r="M89" s="129"/>
      <c r="N89" s="129"/>
    </row>
    <row r="90" spans="2:14" ht="15" x14ac:dyDescent="0.2">
      <c r="B90" s="131"/>
      <c r="C90" s="131"/>
      <c r="D90" s="131"/>
      <c r="E90" s="141"/>
      <c r="F90" s="141"/>
      <c r="G90" s="131"/>
      <c r="H90" s="144"/>
      <c r="I90" s="144"/>
      <c r="J90" s="144"/>
      <c r="K90" s="131"/>
      <c r="L90" s="131"/>
      <c r="M90" s="129"/>
      <c r="N90" s="129"/>
    </row>
    <row r="91" spans="2:14" ht="15" x14ac:dyDescent="0.2">
      <c r="B91" s="131"/>
      <c r="C91" s="131"/>
      <c r="D91" s="131"/>
      <c r="E91" s="141"/>
      <c r="F91" s="141"/>
      <c r="G91" s="131"/>
      <c r="H91" s="144"/>
      <c r="I91" s="131"/>
      <c r="J91" s="131"/>
      <c r="K91" s="131"/>
      <c r="L91" s="131"/>
      <c r="M91" s="129"/>
      <c r="N91" s="129"/>
    </row>
    <row r="92" spans="2:14" ht="15" x14ac:dyDescent="0.2">
      <c r="B92" s="131"/>
      <c r="C92" s="131"/>
      <c r="D92" s="131"/>
      <c r="E92" s="141"/>
      <c r="F92" s="141"/>
      <c r="G92" s="131"/>
      <c r="H92" s="144"/>
      <c r="I92" s="131"/>
      <c r="J92" s="131"/>
      <c r="K92" s="131"/>
      <c r="L92" s="131"/>
      <c r="M92" s="129"/>
      <c r="N92" s="129"/>
    </row>
    <row r="93" spans="2:14" ht="15" x14ac:dyDescent="0.2">
      <c r="B93" s="145"/>
      <c r="C93" s="131"/>
      <c r="D93" s="131"/>
      <c r="E93" s="141"/>
      <c r="F93" s="141"/>
      <c r="G93" s="131"/>
      <c r="H93" s="144"/>
      <c r="I93" s="131"/>
      <c r="J93" s="131"/>
      <c r="K93" s="131"/>
      <c r="L93" s="131"/>
      <c r="M93" s="129"/>
      <c r="N93" s="129"/>
    </row>
    <row r="94" spans="2:14" ht="15" x14ac:dyDescent="0.2">
      <c r="B94" s="145"/>
      <c r="C94" s="131"/>
      <c r="D94" s="131"/>
      <c r="E94" s="141"/>
      <c r="F94" s="141"/>
      <c r="G94" s="131"/>
      <c r="H94" s="144"/>
      <c r="I94" s="144"/>
      <c r="J94" s="144"/>
      <c r="K94" s="131"/>
      <c r="L94" s="131"/>
      <c r="M94" s="129"/>
      <c r="N94" s="129"/>
    </row>
    <row r="95" spans="2:14" ht="15" x14ac:dyDescent="0.2">
      <c r="B95" s="145"/>
      <c r="C95" s="131"/>
      <c r="D95" s="131"/>
      <c r="E95" s="141"/>
      <c r="F95" s="141"/>
      <c r="G95" s="131"/>
      <c r="H95" s="144"/>
      <c r="I95" s="144"/>
      <c r="J95" s="144"/>
      <c r="K95" s="131"/>
      <c r="L95" s="131"/>
      <c r="M95" s="129"/>
    </row>
    <row r="96" spans="2:14" ht="15" x14ac:dyDescent="0.2">
      <c r="B96" s="145"/>
      <c r="C96" s="131"/>
      <c r="D96" s="131"/>
      <c r="E96" s="141"/>
      <c r="F96" s="141"/>
      <c r="G96" s="131"/>
      <c r="H96" s="144"/>
      <c r="I96" s="144"/>
      <c r="J96" s="144"/>
      <c r="K96" s="131"/>
      <c r="L96" s="131"/>
      <c r="M96" s="129"/>
    </row>
    <row r="97" spans="2:13" ht="15" x14ac:dyDescent="0.2">
      <c r="B97" s="145"/>
      <c r="C97" s="131"/>
      <c r="D97" s="131"/>
      <c r="E97" s="141"/>
      <c r="F97" s="141"/>
      <c r="G97" s="131"/>
      <c r="H97" s="144"/>
      <c r="I97" s="144"/>
      <c r="J97" s="144"/>
      <c r="K97" s="131"/>
      <c r="L97" s="131"/>
      <c r="M97" s="129"/>
    </row>
    <row r="98" spans="2:13" ht="15" x14ac:dyDescent="0.2">
      <c r="B98" s="145"/>
      <c r="C98" s="131"/>
      <c r="D98" s="131"/>
      <c r="E98" s="141"/>
      <c r="F98" s="141"/>
      <c r="G98" s="131"/>
      <c r="H98" s="144"/>
      <c r="I98" s="144"/>
      <c r="J98" s="144"/>
      <c r="K98" s="131"/>
      <c r="L98" s="131"/>
      <c r="M98" s="129"/>
    </row>
    <row r="99" spans="2:13" ht="15" x14ac:dyDescent="0.2">
      <c r="B99" s="145"/>
      <c r="C99" s="131"/>
      <c r="D99" s="131"/>
      <c r="E99" s="141"/>
      <c r="F99" s="141"/>
      <c r="G99" s="131"/>
      <c r="H99" s="144"/>
      <c r="I99" s="144"/>
      <c r="J99" s="144"/>
      <c r="K99" s="131"/>
      <c r="L99" s="131"/>
      <c r="M99" s="129"/>
    </row>
    <row r="100" spans="2:13" ht="15" x14ac:dyDescent="0.2">
      <c r="B100" s="145"/>
      <c r="C100" s="131"/>
      <c r="D100" s="131"/>
      <c r="E100" s="141"/>
      <c r="F100" s="141"/>
      <c r="G100" s="131"/>
      <c r="H100" s="144"/>
      <c r="I100" s="144"/>
      <c r="J100" s="144"/>
      <c r="K100" s="131"/>
      <c r="L100" s="131"/>
      <c r="M100" s="129"/>
    </row>
    <row r="101" spans="2:13" ht="15" x14ac:dyDescent="0.2">
      <c r="B101" s="145"/>
      <c r="C101" s="131"/>
      <c r="D101" s="131"/>
      <c r="E101" s="141"/>
      <c r="F101" s="141"/>
      <c r="G101" s="131"/>
      <c r="H101" s="144"/>
      <c r="I101" s="144"/>
      <c r="J101" s="144"/>
      <c r="K101" s="131"/>
      <c r="L101" s="131"/>
      <c r="M101" s="129"/>
    </row>
    <row r="102" spans="2:13" ht="15" x14ac:dyDescent="0.2">
      <c r="B102" s="145"/>
      <c r="C102" s="131"/>
      <c r="D102" s="131"/>
      <c r="E102" s="141"/>
      <c r="F102" s="141"/>
      <c r="G102" s="131"/>
      <c r="H102" s="144"/>
      <c r="I102" s="144"/>
      <c r="J102" s="144"/>
      <c r="K102" s="131"/>
      <c r="L102" s="131"/>
      <c r="M102" s="129"/>
    </row>
    <row r="103" spans="2:13" ht="15" x14ac:dyDescent="0.2">
      <c r="C103" s="131"/>
      <c r="D103" s="131"/>
      <c r="E103" s="141"/>
      <c r="F103" s="141"/>
      <c r="G103" s="131"/>
      <c r="H103" s="144"/>
      <c r="I103" s="144"/>
      <c r="J103" s="144"/>
      <c r="K103" s="131"/>
      <c r="L103" s="131"/>
      <c r="M103" s="129"/>
    </row>
  </sheetData>
  <printOptions gridLines="1" gridLinesSet="0"/>
  <pageMargins left="0.75" right="0" top="0" bottom="0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231C-F2C5-4074-ADA5-1A811176DAA8}">
  <dimension ref="B1:AC99"/>
  <sheetViews>
    <sheetView topLeftCell="A23" zoomScaleNormal="100" workbookViewId="0">
      <selection activeCell="B2" sqref="B2:P59"/>
    </sheetView>
  </sheetViews>
  <sheetFormatPr defaultColWidth="13.42578125" defaultRowHeight="12" x14ac:dyDescent="0.15"/>
  <cols>
    <col min="1" max="1" width="13.42578125" style="123"/>
    <col min="2" max="2" width="9.85546875" style="123" customWidth="1"/>
    <col min="3" max="3" width="9.5703125" style="123" customWidth="1"/>
    <col min="4" max="4" width="9.7109375" style="123" customWidth="1"/>
    <col min="5" max="5" width="8.7109375" style="123" customWidth="1"/>
    <col min="6" max="6" width="9.7109375" style="123" customWidth="1"/>
    <col min="7" max="7" width="7.140625" style="123" customWidth="1"/>
    <col min="8" max="8" width="8.5703125" style="123" bestFit="1" customWidth="1"/>
    <col min="9" max="9" width="3.5703125" style="123" customWidth="1"/>
    <col min="10" max="10" width="9.140625" style="123" customWidth="1"/>
    <col min="11" max="11" width="3.42578125" style="123" customWidth="1"/>
    <col min="12" max="12" width="9.5703125" style="123" customWidth="1"/>
    <col min="13" max="13" width="10.140625" style="123" customWidth="1"/>
    <col min="14" max="14" width="2" style="123" customWidth="1"/>
    <col min="15" max="15" width="9" style="123" customWidth="1"/>
    <col min="16" max="16" width="5.7109375" style="123" bestFit="1" customWidth="1"/>
    <col min="17" max="17" width="8.42578125" style="123" customWidth="1"/>
    <col min="18" max="18" width="8.7109375" style="123" customWidth="1"/>
    <col min="19" max="19" width="6.42578125" style="123" customWidth="1"/>
    <col min="20" max="20" width="7.42578125" style="123" customWidth="1"/>
    <col min="21" max="21" width="8.42578125" style="123" customWidth="1"/>
    <col min="22" max="16384" width="13.42578125" style="123"/>
  </cols>
  <sheetData>
    <row r="1" spans="2:19" ht="12.75" x14ac:dyDescent="0.2">
      <c r="B1" s="72"/>
      <c r="C1" s="73"/>
      <c r="D1" s="73"/>
      <c r="E1" s="74"/>
      <c r="F1" s="75"/>
      <c r="G1" s="76"/>
      <c r="H1" s="146"/>
      <c r="I1" s="78"/>
      <c r="J1" s="79"/>
      <c r="K1" s="76"/>
      <c r="L1" s="76"/>
      <c r="M1" s="80"/>
      <c r="N1" s="80"/>
      <c r="O1" s="76"/>
    </row>
    <row r="2" spans="2:19" ht="12.75" x14ac:dyDescent="0.2">
      <c r="B2" s="1"/>
      <c r="C2" s="82"/>
      <c r="D2" s="82"/>
      <c r="E2" s="42" t="s">
        <v>55</v>
      </c>
      <c r="F2" s="2"/>
      <c r="G2" s="2"/>
      <c r="H2" s="2"/>
      <c r="I2" s="83"/>
      <c r="J2" s="53"/>
      <c r="K2" s="28"/>
      <c r="L2" s="53"/>
      <c r="M2" s="25"/>
      <c r="N2" s="80"/>
      <c r="O2" s="76"/>
    </row>
    <row r="3" spans="2:19" ht="12.75" x14ac:dyDescent="0.2">
      <c r="B3" s="1"/>
      <c r="C3" s="82"/>
      <c r="D3" s="82"/>
      <c r="E3" s="1" t="s">
        <v>38</v>
      </c>
      <c r="F3" s="2"/>
      <c r="G3" s="2"/>
      <c r="H3" s="2"/>
      <c r="I3" s="83"/>
      <c r="J3" s="53"/>
      <c r="K3" s="28"/>
      <c r="L3" s="53"/>
      <c r="M3" s="25"/>
      <c r="N3" s="80"/>
      <c r="O3" s="84"/>
    </row>
    <row r="4" spans="2:19" ht="12.75" x14ac:dyDescent="0.2">
      <c r="B4" s="1"/>
      <c r="C4" s="82"/>
      <c r="D4" s="82"/>
      <c r="E4" s="1"/>
      <c r="F4" s="2"/>
      <c r="G4" s="2"/>
      <c r="H4" s="2"/>
      <c r="I4" s="83"/>
      <c r="J4" s="53"/>
      <c r="K4" s="28"/>
      <c r="L4" s="53"/>
      <c r="M4" s="25"/>
      <c r="N4" s="80"/>
      <c r="O4" s="84"/>
    </row>
    <row r="5" spans="2:19" ht="12.75" x14ac:dyDescent="0.2">
      <c r="B5" s="2"/>
      <c r="C5" s="12"/>
      <c r="D5" s="12"/>
      <c r="E5" s="12" t="s">
        <v>56</v>
      </c>
      <c r="F5" s="12" t="s">
        <v>57</v>
      </c>
      <c r="G5" s="12"/>
      <c r="H5" s="12" t="s">
        <v>2</v>
      </c>
      <c r="I5" s="12"/>
      <c r="J5" s="12" t="s">
        <v>41</v>
      </c>
      <c r="K5" s="12"/>
      <c r="L5" s="85" t="s">
        <v>57</v>
      </c>
      <c r="M5" s="12"/>
      <c r="N5" s="84"/>
      <c r="O5" s="86"/>
    </row>
    <row r="6" spans="2:19" ht="12.75" x14ac:dyDescent="0.2">
      <c r="B6" s="2"/>
      <c r="C6" s="85" t="s">
        <v>42</v>
      </c>
      <c r="D6" s="85" t="s">
        <v>43</v>
      </c>
      <c r="E6" s="12" t="s">
        <v>44</v>
      </c>
      <c r="F6" s="85" t="s">
        <v>45</v>
      </c>
      <c r="G6" s="12"/>
      <c r="H6" s="12" t="s">
        <v>46</v>
      </c>
      <c r="I6" s="12"/>
      <c r="J6" s="85" t="s">
        <v>47</v>
      </c>
      <c r="K6" s="85"/>
      <c r="L6" s="85" t="s">
        <v>48</v>
      </c>
      <c r="M6" s="12" t="s">
        <v>12</v>
      </c>
      <c r="N6" s="84"/>
      <c r="O6" s="87"/>
    </row>
    <row r="7" spans="2:19" ht="12.75" x14ac:dyDescent="0.2">
      <c r="B7" s="88" t="s">
        <v>13</v>
      </c>
      <c r="C7" s="16" t="s">
        <v>49</v>
      </c>
      <c r="D7" s="16" t="s">
        <v>49</v>
      </c>
      <c r="E7" s="89" t="s">
        <v>50</v>
      </c>
      <c r="F7" s="16" t="s">
        <v>51</v>
      </c>
      <c r="G7" s="16"/>
      <c r="H7" s="16" t="s">
        <v>58</v>
      </c>
      <c r="I7" s="16"/>
      <c r="J7" s="16" t="s">
        <v>51</v>
      </c>
      <c r="K7" s="16"/>
      <c r="L7" s="89" t="s">
        <v>18</v>
      </c>
      <c r="M7" s="89" t="s">
        <v>57</v>
      </c>
      <c r="N7" s="86"/>
      <c r="O7" s="76"/>
    </row>
    <row r="8" spans="2:19" ht="12.75" x14ac:dyDescent="0.2">
      <c r="B8" s="87"/>
      <c r="C8" s="87"/>
      <c r="D8" s="87"/>
      <c r="E8" s="75"/>
      <c r="F8" s="87"/>
      <c r="G8" s="87"/>
      <c r="H8" s="87"/>
      <c r="I8" s="94"/>
      <c r="J8" s="87"/>
      <c r="K8" s="87"/>
      <c r="L8" s="87"/>
      <c r="M8" s="87"/>
      <c r="N8" s="87"/>
      <c r="O8" s="76"/>
    </row>
    <row r="9" spans="2:19" ht="12.75" x14ac:dyDescent="0.2">
      <c r="B9" s="19">
        <v>1992</v>
      </c>
      <c r="C9" s="96">
        <v>8471</v>
      </c>
      <c r="D9" s="96">
        <v>9477</v>
      </c>
      <c r="E9" s="97">
        <v>0.249</v>
      </c>
      <c r="F9" s="21">
        <v>248.5</v>
      </c>
      <c r="G9" s="21"/>
      <c r="H9" s="147">
        <v>34169</v>
      </c>
      <c r="I9" s="65"/>
      <c r="J9" s="21">
        <v>229</v>
      </c>
      <c r="K9" s="21"/>
      <c r="L9" s="98">
        <f t="shared" ref="L9:L35" si="0">F9/J9</f>
        <v>1.0851528384279476</v>
      </c>
      <c r="M9" s="40">
        <f t="shared" ref="M9:M44" si="1">L9*J$26</f>
        <v>490.48908296943233</v>
      </c>
      <c r="N9" s="76"/>
      <c r="O9" s="76"/>
    </row>
    <row r="10" spans="2:19" ht="12.75" x14ac:dyDescent="0.2">
      <c r="B10" s="99">
        <v>2004</v>
      </c>
      <c r="C10" s="100">
        <v>10661</v>
      </c>
      <c r="D10" s="100">
        <v>11806</v>
      </c>
      <c r="E10" s="101">
        <v>0.19830156645718011</v>
      </c>
      <c r="F10" s="32">
        <v>246</v>
      </c>
      <c r="G10" s="39"/>
      <c r="H10" s="102">
        <v>38547</v>
      </c>
      <c r="I10" s="39"/>
      <c r="J10" s="32">
        <v>217.25</v>
      </c>
      <c r="K10" s="32"/>
      <c r="L10" s="103">
        <f t="shared" si="0"/>
        <v>1.1323360184119677</v>
      </c>
      <c r="M10" s="30">
        <f t="shared" si="1"/>
        <v>511.81588032220941</v>
      </c>
      <c r="N10" s="76"/>
      <c r="O10" s="76"/>
    </row>
    <row r="11" spans="2:19" ht="12.75" x14ac:dyDescent="0.2">
      <c r="B11" s="19">
        <v>1990</v>
      </c>
      <c r="C11" s="96">
        <v>7761</v>
      </c>
      <c r="D11" s="96">
        <v>7934</v>
      </c>
      <c r="E11" s="97">
        <v>0.19600000000000001</v>
      </c>
      <c r="F11" s="21">
        <v>268.5</v>
      </c>
      <c r="G11" s="21"/>
      <c r="H11" s="147">
        <v>33343</v>
      </c>
      <c r="I11" s="65"/>
      <c r="J11" s="21">
        <v>245.25</v>
      </c>
      <c r="K11" s="21"/>
      <c r="L11" s="98">
        <f t="shared" si="0"/>
        <v>1.0948012232415902</v>
      </c>
      <c r="M11" s="40">
        <f t="shared" si="1"/>
        <v>494.8501529051988</v>
      </c>
      <c r="N11" s="76"/>
      <c r="O11" s="76"/>
    </row>
    <row r="12" spans="2:19" ht="12.75" x14ac:dyDescent="0.2">
      <c r="B12" s="99">
        <v>2000</v>
      </c>
      <c r="C12" s="100">
        <v>9741</v>
      </c>
      <c r="D12" s="100">
        <v>9915.0509999999995</v>
      </c>
      <c r="E12" s="101">
        <v>0.19498490914690464</v>
      </c>
      <c r="F12" s="32">
        <v>247</v>
      </c>
      <c r="G12" s="39"/>
      <c r="H12" s="102">
        <v>36893</v>
      </c>
      <c r="I12" s="39"/>
      <c r="J12" s="32">
        <v>242</v>
      </c>
      <c r="K12" s="32"/>
      <c r="L12" s="103">
        <f t="shared" si="0"/>
        <v>1.0206611570247934</v>
      </c>
      <c r="M12" s="30">
        <f t="shared" si="1"/>
        <v>461.3388429752066</v>
      </c>
      <c r="N12" s="76"/>
      <c r="O12" s="76"/>
    </row>
    <row r="13" spans="2:19" ht="12.75" x14ac:dyDescent="0.2">
      <c r="B13" s="19">
        <v>1998</v>
      </c>
      <c r="C13" s="96">
        <v>9299</v>
      </c>
      <c r="D13" s="96">
        <v>9758.6849999999995</v>
      </c>
      <c r="E13" s="97">
        <v>0.19213732659425739</v>
      </c>
      <c r="F13" s="21">
        <v>240.25</v>
      </c>
      <c r="G13" s="21"/>
      <c r="H13" s="147">
        <v>36249</v>
      </c>
      <c r="I13" s="65"/>
      <c r="J13" s="21">
        <v>228</v>
      </c>
      <c r="K13" s="21"/>
      <c r="L13" s="98">
        <f t="shared" si="0"/>
        <v>1.0537280701754386</v>
      </c>
      <c r="M13" s="40">
        <f t="shared" si="1"/>
        <v>476.28508771929825</v>
      </c>
      <c r="N13" s="76"/>
      <c r="O13" s="76"/>
    </row>
    <row r="14" spans="2:19" ht="12.75" x14ac:dyDescent="0.2">
      <c r="B14" s="99">
        <v>1999</v>
      </c>
      <c r="C14" s="100">
        <v>9514</v>
      </c>
      <c r="D14" s="100">
        <v>9430.6119999999992</v>
      </c>
      <c r="E14" s="101">
        <v>0.18060721042673941</v>
      </c>
      <c r="F14" s="32">
        <v>258.25</v>
      </c>
      <c r="G14" s="39"/>
      <c r="H14" s="102">
        <v>36649</v>
      </c>
      <c r="I14" s="39"/>
      <c r="J14" s="32">
        <v>214.75</v>
      </c>
      <c r="K14" s="32"/>
      <c r="L14" s="103">
        <f t="shared" si="0"/>
        <v>1.2025611175785798</v>
      </c>
      <c r="M14" s="30">
        <f t="shared" si="1"/>
        <v>543.55762514551805</v>
      </c>
      <c r="N14" s="76"/>
      <c r="O14" s="76"/>
    </row>
    <row r="15" spans="2:19" ht="12.75" x14ac:dyDescent="0.2">
      <c r="B15" s="19">
        <v>2005</v>
      </c>
      <c r="C15" s="96">
        <v>11268</v>
      </c>
      <c r="D15" s="96">
        <v>11112.187</v>
      </c>
      <c r="E15" s="97">
        <v>0.17458998935037248</v>
      </c>
      <c r="F15" s="21">
        <v>263.5</v>
      </c>
      <c r="G15" s="21"/>
      <c r="H15" s="147">
        <v>38854</v>
      </c>
      <c r="I15" s="65"/>
      <c r="J15" s="21">
        <v>236</v>
      </c>
      <c r="K15" s="21"/>
      <c r="L15" s="98">
        <f t="shared" si="0"/>
        <v>1.1165254237288136</v>
      </c>
      <c r="M15" s="40">
        <f t="shared" si="1"/>
        <v>504.66949152542372</v>
      </c>
      <c r="N15" s="76"/>
      <c r="O15" s="76"/>
      <c r="S15" s="148"/>
    </row>
    <row r="16" spans="2:19" ht="12.75" x14ac:dyDescent="0.2">
      <c r="B16" s="99">
        <v>1994</v>
      </c>
      <c r="C16" s="100">
        <v>9352</v>
      </c>
      <c r="D16" s="100">
        <v>10051</v>
      </c>
      <c r="E16" s="101">
        <v>0.16659538066723695</v>
      </c>
      <c r="F16" s="32">
        <v>300</v>
      </c>
      <c r="G16" s="39"/>
      <c r="H16" s="102">
        <v>34897</v>
      </c>
      <c r="I16" s="39"/>
      <c r="J16" s="32">
        <v>240.75</v>
      </c>
      <c r="K16" s="32"/>
      <c r="L16" s="103">
        <f t="shared" si="0"/>
        <v>1.2461059190031152</v>
      </c>
      <c r="M16" s="30">
        <f t="shared" si="1"/>
        <v>563.2398753894081</v>
      </c>
      <c r="N16" s="76"/>
      <c r="O16" s="76"/>
    </row>
    <row r="17" spans="2:17" ht="12.75" x14ac:dyDescent="0.2">
      <c r="B17" s="19">
        <v>2001</v>
      </c>
      <c r="C17" s="96">
        <v>9816</v>
      </c>
      <c r="D17" s="96">
        <v>9502.58</v>
      </c>
      <c r="E17" s="97">
        <v>0.1625843520782394</v>
      </c>
      <c r="F17" s="21">
        <v>235</v>
      </c>
      <c r="G17" s="21"/>
      <c r="H17" s="147">
        <v>37439</v>
      </c>
      <c r="I17" s="65"/>
      <c r="J17" s="21">
        <v>221.5</v>
      </c>
      <c r="K17" s="21"/>
      <c r="L17" s="98">
        <f t="shared" si="0"/>
        <v>1.0609480812641083</v>
      </c>
      <c r="M17" s="40">
        <f t="shared" si="1"/>
        <v>479.54853273137695</v>
      </c>
      <c r="N17" s="76"/>
      <c r="O17" s="76"/>
    </row>
    <row r="18" spans="2:17" ht="12.75" x14ac:dyDescent="0.2">
      <c r="B18" s="99">
        <v>2016</v>
      </c>
      <c r="C18" s="100">
        <v>14649</v>
      </c>
      <c r="D18" s="100">
        <v>15148.038</v>
      </c>
      <c r="E18" s="101">
        <v>0.1566535702770081</v>
      </c>
      <c r="F18" s="32">
        <v>394.5</v>
      </c>
      <c r="G18" s="39"/>
      <c r="H18" s="102">
        <v>42927</v>
      </c>
      <c r="I18" s="39"/>
      <c r="J18" s="32">
        <v>368.25</v>
      </c>
      <c r="K18" s="32"/>
      <c r="L18" s="103">
        <f t="shared" si="0"/>
        <v>1.0712830957230142</v>
      </c>
      <c r="M18" s="30">
        <f t="shared" si="1"/>
        <v>484.21995926680239</v>
      </c>
      <c r="N18" s="76"/>
      <c r="O18" s="76"/>
    </row>
    <row r="19" spans="2:17" ht="12.75" x14ac:dyDescent="0.2">
      <c r="B19" s="106">
        <v>2018</v>
      </c>
      <c r="C19" s="96">
        <v>14253</v>
      </c>
      <c r="D19" s="96">
        <v>14322</v>
      </c>
      <c r="E19" s="97">
        <v>0.157</v>
      </c>
      <c r="F19" s="21">
        <v>464.25</v>
      </c>
      <c r="G19" s="21"/>
      <c r="H19" s="35">
        <v>43634</v>
      </c>
      <c r="I19" s="23"/>
      <c r="J19" s="21">
        <v>391</v>
      </c>
      <c r="K19" s="21"/>
      <c r="L19" s="98">
        <f t="shared" si="0"/>
        <v>1.1873401534526855</v>
      </c>
      <c r="M19" s="40">
        <f t="shared" si="1"/>
        <v>536.6777493606138</v>
      </c>
      <c r="N19" s="76"/>
      <c r="O19" s="80"/>
      <c r="P19" s="87"/>
      <c r="Q19" s="87"/>
    </row>
    <row r="20" spans="2:17" ht="12.75" x14ac:dyDescent="0.2">
      <c r="B20" s="149" t="s">
        <v>59</v>
      </c>
      <c r="C20" s="150">
        <v>8792</v>
      </c>
      <c r="D20" s="150">
        <v>9207</v>
      </c>
      <c r="E20" s="151">
        <v>0.14877161055505003</v>
      </c>
      <c r="F20" s="152">
        <v>295</v>
      </c>
      <c r="G20" s="152"/>
      <c r="H20" s="153">
        <v>35822</v>
      </c>
      <c r="I20" s="154"/>
      <c r="J20" s="152">
        <v>275.25</v>
      </c>
      <c r="K20" s="152"/>
      <c r="L20" s="155">
        <f t="shared" si="0"/>
        <v>1.0717529518619437</v>
      </c>
      <c r="M20" s="156">
        <f t="shared" si="1"/>
        <v>484.4323342415986</v>
      </c>
      <c r="N20" s="76"/>
      <c r="O20" s="76"/>
    </row>
    <row r="21" spans="2:17" ht="12.75" x14ac:dyDescent="0.2">
      <c r="B21" s="106">
        <v>2017</v>
      </c>
      <c r="C21" s="96">
        <v>14798</v>
      </c>
      <c r="D21" s="96">
        <v>14609</v>
      </c>
      <c r="E21" s="97">
        <v>0.14466670776391344</v>
      </c>
      <c r="F21" s="21">
        <v>412.25</v>
      </c>
      <c r="G21" s="24"/>
      <c r="H21" s="107">
        <v>43244</v>
      </c>
      <c r="I21" s="24"/>
      <c r="J21" s="21">
        <v>369.75</v>
      </c>
      <c r="K21" s="21"/>
      <c r="L21" s="98">
        <f t="shared" si="0"/>
        <v>1.1149425287356323</v>
      </c>
      <c r="M21" s="40">
        <f t="shared" si="1"/>
        <v>503.95402298850581</v>
      </c>
      <c r="N21" s="76"/>
      <c r="O21" s="76"/>
    </row>
    <row r="22" spans="2:17" ht="12.75" x14ac:dyDescent="0.2">
      <c r="B22" s="149" t="s">
        <v>60</v>
      </c>
      <c r="C22" s="150">
        <v>13843</v>
      </c>
      <c r="D22" s="150">
        <v>13568</v>
      </c>
      <c r="E22" s="151">
        <v>0.14499999999999999</v>
      </c>
      <c r="F22" s="152">
        <v>404.5</v>
      </c>
      <c r="G22" s="152"/>
      <c r="H22" s="153">
        <v>43832</v>
      </c>
      <c r="I22" s="154"/>
      <c r="J22" s="152">
        <v>404</v>
      </c>
      <c r="K22" s="152"/>
      <c r="L22" s="155">
        <f>F22/J22</f>
        <v>1.0012376237623761</v>
      </c>
      <c r="M22" s="156">
        <f t="shared" si="1"/>
        <v>452.55940594059399</v>
      </c>
      <c r="N22" s="76"/>
      <c r="O22" s="76"/>
    </row>
    <row r="23" spans="2:17" ht="12.75" x14ac:dyDescent="0.2">
      <c r="B23" s="19">
        <v>1991</v>
      </c>
      <c r="C23" s="96">
        <v>7916</v>
      </c>
      <c r="D23" s="96">
        <v>7475</v>
      </c>
      <c r="E23" s="97">
        <v>0.13900000000000001</v>
      </c>
      <c r="F23" s="21">
        <v>285</v>
      </c>
      <c r="G23" s="21"/>
      <c r="H23" s="147">
        <v>33673</v>
      </c>
      <c r="I23" s="65"/>
      <c r="J23" s="21">
        <v>261.25</v>
      </c>
      <c r="K23" s="21"/>
      <c r="L23" s="98">
        <f t="shared" si="0"/>
        <v>1.0909090909090908</v>
      </c>
      <c r="M23" s="40">
        <f t="shared" si="1"/>
        <v>493.09090909090907</v>
      </c>
      <c r="N23" s="76"/>
      <c r="O23" s="76"/>
    </row>
    <row r="24" spans="2:17" ht="12.75" x14ac:dyDescent="0.2">
      <c r="B24" s="99">
        <v>2008</v>
      </c>
      <c r="C24" s="100">
        <v>12056.791836314076</v>
      </c>
      <c r="D24" s="100">
        <v>12091.647999999999</v>
      </c>
      <c r="E24" s="101">
        <v>0.13872605080537131</v>
      </c>
      <c r="F24" s="32">
        <v>450</v>
      </c>
      <c r="G24" s="39"/>
      <c r="H24" s="102">
        <v>39969</v>
      </c>
      <c r="I24" s="39"/>
      <c r="J24" s="32">
        <v>433</v>
      </c>
      <c r="K24" s="32"/>
      <c r="L24" s="103">
        <f t="shared" si="0"/>
        <v>1.0392609699769053</v>
      </c>
      <c r="M24" s="30">
        <f t="shared" si="1"/>
        <v>469.7459584295612</v>
      </c>
      <c r="N24" s="76"/>
      <c r="O24" s="76"/>
    </row>
    <row r="25" spans="2:17" ht="12.75" x14ac:dyDescent="0.2">
      <c r="B25" s="106">
        <v>2009</v>
      </c>
      <c r="C25" s="96">
        <v>13060.361215054585</v>
      </c>
      <c r="D25" s="96">
        <v>13091.861999999999</v>
      </c>
      <c r="E25" s="97">
        <v>0.1304656400041663</v>
      </c>
      <c r="F25" s="21">
        <v>443.75</v>
      </c>
      <c r="G25" s="24"/>
      <c r="H25" s="107">
        <v>40182</v>
      </c>
      <c r="I25" s="24"/>
      <c r="J25" s="21">
        <v>437</v>
      </c>
      <c r="K25" s="21"/>
      <c r="L25" s="98">
        <f t="shared" si="0"/>
        <v>1.0154462242562929</v>
      </c>
      <c r="M25" s="40">
        <f t="shared" si="1"/>
        <v>458.98169336384439</v>
      </c>
      <c r="N25" s="76"/>
      <c r="O25" s="76"/>
    </row>
    <row r="26" spans="2:17" ht="12.75" x14ac:dyDescent="0.2">
      <c r="B26" s="55">
        <v>2025</v>
      </c>
      <c r="C26" s="111">
        <v>16470</v>
      </c>
      <c r="D26" s="111">
        <v>17021</v>
      </c>
      <c r="E26" s="112">
        <v>0.129</v>
      </c>
      <c r="F26" s="59">
        <v>487.5</v>
      </c>
      <c r="G26" s="59" t="s">
        <v>24</v>
      </c>
      <c r="H26" s="157">
        <v>46090</v>
      </c>
      <c r="I26" s="113"/>
      <c r="J26" s="59">
        <v>452</v>
      </c>
      <c r="K26" s="59"/>
      <c r="L26" s="158">
        <f>F26/J26</f>
        <v>1.0785398230088497</v>
      </c>
      <c r="M26" s="56">
        <f t="shared" si="1"/>
        <v>487.50000000000006</v>
      </c>
      <c r="N26" s="76"/>
      <c r="O26" s="76"/>
    </row>
    <row r="27" spans="2:17" ht="12.75" x14ac:dyDescent="0.2">
      <c r="B27" s="19">
        <v>2007</v>
      </c>
      <c r="C27" s="96">
        <v>12737.725198699707</v>
      </c>
      <c r="D27" s="96">
        <v>13037.875</v>
      </c>
      <c r="E27" s="97">
        <v>0.12747448447970322</v>
      </c>
      <c r="F27" s="21">
        <v>762.5</v>
      </c>
      <c r="G27" s="21"/>
      <c r="H27" s="147">
        <v>39626</v>
      </c>
      <c r="I27" s="65"/>
      <c r="J27" s="21">
        <v>483</v>
      </c>
      <c r="K27" s="21"/>
      <c r="L27" s="98">
        <f t="shared" si="0"/>
        <v>1.5786749482401656</v>
      </c>
      <c r="M27" s="40">
        <f t="shared" si="1"/>
        <v>713.56107660455484</v>
      </c>
      <c r="N27" s="76"/>
      <c r="O27" s="76"/>
    </row>
    <row r="28" spans="2:17" ht="12.75" x14ac:dyDescent="0.2">
      <c r="B28" s="99">
        <v>2015</v>
      </c>
      <c r="C28" s="100">
        <v>13663.716000117587</v>
      </c>
      <c r="D28" s="100">
        <v>13601.964</v>
      </c>
      <c r="E28" s="101">
        <v>0.127</v>
      </c>
      <c r="F28" s="32">
        <v>439.25</v>
      </c>
      <c r="G28" s="39"/>
      <c r="H28" s="102">
        <v>42529</v>
      </c>
      <c r="I28" s="39"/>
      <c r="J28" s="32">
        <v>363.75</v>
      </c>
      <c r="K28" s="32"/>
      <c r="L28" s="103">
        <f t="shared" si="0"/>
        <v>1.2075601374570446</v>
      </c>
      <c r="M28" s="30">
        <f t="shared" si="1"/>
        <v>545.81718213058411</v>
      </c>
      <c r="N28" s="76"/>
      <c r="O28" s="76"/>
    </row>
    <row r="29" spans="2:17" ht="12.75" x14ac:dyDescent="0.2">
      <c r="B29" s="19">
        <v>2014</v>
      </c>
      <c r="C29" s="96">
        <v>13758.845984368296</v>
      </c>
      <c r="D29" s="96">
        <v>14215.531999999999</v>
      </c>
      <c r="E29" s="97">
        <v>0.12508348824661558</v>
      </c>
      <c r="F29" s="21">
        <v>436.25</v>
      </c>
      <c r="G29" s="21"/>
      <c r="H29" s="147">
        <v>42199</v>
      </c>
      <c r="I29" s="65"/>
      <c r="J29" s="21">
        <v>411.25</v>
      </c>
      <c r="K29" s="21"/>
      <c r="L29" s="98">
        <f t="shared" si="0"/>
        <v>1.0607902735562309</v>
      </c>
      <c r="M29" s="40">
        <f t="shared" si="1"/>
        <v>479.47720364741639</v>
      </c>
      <c r="N29" s="76"/>
      <c r="O29" s="76"/>
    </row>
    <row r="30" spans="2:17" ht="12.75" x14ac:dyDescent="0.2">
      <c r="B30" s="29">
        <v>2023</v>
      </c>
      <c r="C30" s="100">
        <v>14966</v>
      </c>
      <c r="D30" s="100">
        <v>15341</v>
      </c>
      <c r="E30" s="101">
        <v>0.1178</v>
      </c>
      <c r="F30" s="32">
        <v>493.75</v>
      </c>
      <c r="G30" s="32"/>
      <c r="H30" s="159">
        <v>45295</v>
      </c>
      <c r="I30" s="109"/>
      <c r="J30" s="32">
        <v>487.75</v>
      </c>
      <c r="K30" s="32"/>
      <c r="L30" s="103">
        <f t="shared" si="0"/>
        <v>1.0123013839056894</v>
      </c>
      <c r="M30" s="30">
        <f t="shared" si="1"/>
        <v>457.56022552537161</v>
      </c>
      <c r="N30" s="76"/>
      <c r="O30" s="76"/>
    </row>
    <row r="31" spans="2:17" ht="12.75" x14ac:dyDescent="0.2">
      <c r="B31" s="106">
        <v>2006</v>
      </c>
      <c r="C31" s="96">
        <v>11206.817848151917</v>
      </c>
      <c r="D31" s="96">
        <v>10531.123</v>
      </c>
      <c r="E31" s="97">
        <v>0.11632072275209228</v>
      </c>
      <c r="F31" s="21">
        <v>459.75</v>
      </c>
      <c r="G31" s="24"/>
      <c r="H31" s="107">
        <v>39139</v>
      </c>
      <c r="I31" s="24"/>
      <c r="J31" s="21">
        <v>402.5</v>
      </c>
      <c r="K31" s="21"/>
      <c r="L31" s="98">
        <f t="shared" si="0"/>
        <v>1.1422360248447205</v>
      </c>
      <c r="M31" s="40">
        <f t="shared" si="1"/>
        <v>516.29068322981368</v>
      </c>
      <c r="N31" s="76"/>
      <c r="O31" s="76"/>
    </row>
    <row r="32" spans="2:17" ht="12.75" x14ac:dyDescent="0.2">
      <c r="B32" s="29">
        <v>2002</v>
      </c>
      <c r="C32" s="100">
        <v>9486</v>
      </c>
      <c r="D32" s="100">
        <v>8966.7870000000003</v>
      </c>
      <c r="E32" s="101">
        <v>0.1145598777145265</v>
      </c>
      <c r="F32" s="32">
        <v>259</v>
      </c>
      <c r="G32" s="32"/>
      <c r="H32" s="159">
        <v>37753</v>
      </c>
      <c r="I32" s="109"/>
      <c r="J32" s="32">
        <v>244.5</v>
      </c>
      <c r="K32" s="32"/>
      <c r="L32" s="103">
        <f t="shared" si="0"/>
        <v>1.0593047034764826</v>
      </c>
      <c r="M32" s="30">
        <f t="shared" si="1"/>
        <v>478.80572597137018</v>
      </c>
      <c r="N32" s="76"/>
      <c r="O32" s="76"/>
    </row>
    <row r="33" spans="2:29" ht="12.75" x14ac:dyDescent="0.2">
      <c r="B33" s="106">
        <v>1993</v>
      </c>
      <c r="C33" s="96">
        <v>7621</v>
      </c>
      <c r="D33" s="96">
        <v>6338</v>
      </c>
      <c r="E33" s="97">
        <v>0.11153391943314525</v>
      </c>
      <c r="F33" s="21">
        <v>319.25</v>
      </c>
      <c r="G33" s="24"/>
      <c r="H33" s="107">
        <v>34344</v>
      </c>
      <c r="I33" s="24"/>
      <c r="J33" s="21">
        <v>309.25</v>
      </c>
      <c r="K33" s="21"/>
      <c r="L33" s="98">
        <f t="shared" si="0"/>
        <v>1.032336297493937</v>
      </c>
      <c r="M33" s="40">
        <f t="shared" si="1"/>
        <v>466.61600646725952</v>
      </c>
      <c r="N33" s="76"/>
      <c r="O33" s="76"/>
    </row>
    <row r="34" spans="2:29" s="160" customFormat="1" ht="12.75" x14ac:dyDescent="0.2">
      <c r="B34" s="29">
        <v>2024</v>
      </c>
      <c r="C34" s="100">
        <v>15126</v>
      </c>
      <c r="D34" s="100">
        <v>14892</v>
      </c>
      <c r="E34" s="101">
        <v>0.10299999999999999</v>
      </c>
      <c r="F34" s="32">
        <v>521.5</v>
      </c>
      <c r="G34" s="32"/>
      <c r="H34" s="159">
        <v>45707</v>
      </c>
      <c r="I34" s="109"/>
      <c r="J34" s="32">
        <v>470.25</v>
      </c>
      <c r="K34" s="32"/>
      <c r="L34" s="103">
        <f>F34/J34</f>
        <v>1.1089845826687932</v>
      </c>
      <c r="M34" s="30">
        <f t="shared" si="1"/>
        <v>501.2610313662945</v>
      </c>
      <c r="N34" s="104"/>
      <c r="O34" s="104"/>
    </row>
    <row r="35" spans="2:29" ht="12.75" x14ac:dyDescent="0.2">
      <c r="B35" s="106">
        <v>1996</v>
      </c>
      <c r="C35" s="96">
        <v>8789</v>
      </c>
      <c r="D35" s="96">
        <v>9233</v>
      </c>
      <c r="E35" s="97">
        <v>0.1004664922061668</v>
      </c>
      <c r="F35" s="21">
        <v>320.75</v>
      </c>
      <c r="G35" s="24"/>
      <c r="H35" s="107">
        <v>35521</v>
      </c>
      <c r="I35" s="24"/>
      <c r="J35" s="21">
        <v>262.75</v>
      </c>
      <c r="K35" s="21"/>
      <c r="L35" s="98">
        <f t="shared" si="0"/>
        <v>1.2207421503330163</v>
      </c>
      <c r="M35" s="40">
        <f t="shared" si="1"/>
        <v>551.77545195052335</v>
      </c>
      <c r="N35" s="76"/>
      <c r="O35" s="76"/>
      <c r="P35" s="72"/>
      <c r="Q35" s="87"/>
      <c r="R35" s="75"/>
      <c r="S35" s="74"/>
      <c r="T35" s="161"/>
      <c r="U35" s="91"/>
      <c r="V35" s="76"/>
      <c r="W35" s="146"/>
      <c r="X35" s="94"/>
      <c r="Y35" s="162"/>
      <c r="Z35" s="76"/>
      <c r="AA35" s="76"/>
      <c r="AB35" s="80"/>
      <c r="AC35" s="76"/>
    </row>
    <row r="36" spans="2:29" s="160" customFormat="1" ht="12.75" x14ac:dyDescent="0.2">
      <c r="B36" s="29">
        <v>2022</v>
      </c>
      <c r="C36" s="100">
        <v>13706</v>
      </c>
      <c r="D36" s="100">
        <v>13651</v>
      </c>
      <c r="E36" s="101">
        <v>9.8799999999999999E-2</v>
      </c>
      <c r="F36" s="32">
        <v>674.75</v>
      </c>
      <c r="G36" s="32"/>
      <c r="H36" s="159">
        <v>44944</v>
      </c>
      <c r="I36" s="109"/>
      <c r="J36" s="32">
        <v>664.75</v>
      </c>
      <c r="K36" s="32"/>
      <c r="L36" s="103">
        <v>1.0149999999999999</v>
      </c>
      <c r="M36" s="30">
        <f t="shared" si="1"/>
        <v>458.78</v>
      </c>
      <c r="N36" s="104"/>
      <c r="O36" s="163"/>
      <c r="P36" s="164"/>
      <c r="Q36" s="165"/>
      <c r="R36" s="163"/>
      <c r="U36" s="116"/>
      <c r="V36" s="104"/>
      <c r="W36" s="165"/>
      <c r="X36" s="166"/>
      <c r="Y36" s="167"/>
      <c r="Z36" s="104"/>
      <c r="AA36" s="104"/>
      <c r="AB36" s="168"/>
      <c r="AC36" s="104"/>
    </row>
    <row r="37" spans="2:29" ht="12.75" x14ac:dyDescent="0.2">
      <c r="B37" s="19">
        <v>2003</v>
      </c>
      <c r="C37" s="96">
        <v>10230</v>
      </c>
      <c r="D37" s="96">
        <v>10087.291999999999</v>
      </c>
      <c r="E37" s="97">
        <v>9.3646823069403501E-2</v>
      </c>
      <c r="F37" s="21">
        <v>342</v>
      </c>
      <c r="G37" s="21"/>
      <c r="H37" s="147">
        <v>38082</v>
      </c>
      <c r="I37" s="65"/>
      <c r="J37" s="21">
        <v>258.5</v>
      </c>
      <c r="K37" s="21"/>
      <c r="L37" s="98">
        <f t="shared" ref="L37:L44" si="2">F37/J37</f>
        <v>1.3230174081237911</v>
      </c>
      <c r="M37" s="40">
        <f t="shared" si="1"/>
        <v>598.00386847195352</v>
      </c>
      <c r="N37" s="76"/>
      <c r="O37" s="169"/>
      <c r="P37" s="72"/>
      <c r="Q37" s="75"/>
      <c r="R37" s="133"/>
      <c r="S37" s="133"/>
      <c r="T37" s="133"/>
      <c r="U37" s="133"/>
      <c r="V37" s="119"/>
      <c r="W37" s="119"/>
      <c r="X37" s="170"/>
      <c r="Y37" s="135"/>
      <c r="Z37" s="119"/>
      <c r="AA37" s="119"/>
      <c r="AB37" s="136"/>
      <c r="AC37" s="119"/>
    </row>
    <row r="38" spans="2:29" ht="12.75" x14ac:dyDescent="0.2">
      <c r="B38" s="99">
        <v>2021</v>
      </c>
      <c r="C38" s="100">
        <v>14900</v>
      </c>
      <c r="D38" s="100">
        <v>15018</v>
      </c>
      <c r="E38" s="101">
        <v>9.1999999999999998E-2</v>
      </c>
      <c r="F38" s="32">
        <v>824.5</v>
      </c>
      <c r="G38" s="39"/>
      <c r="H38" s="102">
        <v>44680</v>
      </c>
      <c r="I38" s="39"/>
      <c r="J38" s="32">
        <v>589.75</v>
      </c>
      <c r="K38" s="32"/>
      <c r="L38" s="103">
        <f t="shared" si="2"/>
        <v>1.3980500211954219</v>
      </c>
      <c r="M38" s="30">
        <f t="shared" si="1"/>
        <v>631.91860958033067</v>
      </c>
      <c r="N38" s="76"/>
      <c r="O38" s="169"/>
      <c r="P38" s="72"/>
      <c r="Q38" s="75"/>
      <c r="R38" s="133"/>
      <c r="S38" s="133"/>
      <c r="T38" s="133"/>
      <c r="U38" s="133"/>
      <c r="V38" s="119"/>
      <c r="W38" s="119"/>
      <c r="X38" s="170"/>
      <c r="Y38" s="135"/>
      <c r="Z38" s="119"/>
      <c r="AA38" s="119"/>
      <c r="AB38" s="136"/>
      <c r="AC38" s="119"/>
    </row>
    <row r="39" spans="2:29" ht="12.75" x14ac:dyDescent="0.2">
      <c r="B39" s="19">
        <v>2013</v>
      </c>
      <c r="C39" s="96">
        <v>13506.29045370657</v>
      </c>
      <c r="D39" s="96">
        <v>13828.964</v>
      </c>
      <c r="E39" s="97">
        <v>9.0759588808237715E-2</v>
      </c>
      <c r="F39" s="21">
        <v>524.5</v>
      </c>
      <c r="G39" s="21"/>
      <c r="H39" s="147">
        <v>41738</v>
      </c>
      <c r="I39" s="65"/>
      <c r="J39" s="21">
        <v>436</v>
      </c>
      <c r="K39" s="21"/>
      <c r="L39" s="98">
        <f t="shared" si="2"/>
        <v>1.2029816513761469</v>
      </c>
      <c r="M39" s="40">
        <f t="shared" si="1"/>
        <v>543.74770642201838</v>
      </c>
      <c r="N39" s="76"/>
      <c r="O39" s="120"/>
      <c r="P39" s="121"/>
      <c r="Q39" s="122"/>
      <c r="R39" s="75"/>
      <c r="S39" s="74"/>
      <c r="T39" s="75"/>
      <c r="U39" s="75"/>
      <c r="V39" s="76"/>
      <c r="W39" s="76"/>
      <c r="X39" s="95"/>
      <c r="Y39" s="124"/>
      <c r="Z39" s="76"/>
      <c r="AA39" s="76"/>
      <c r="AB39" s="80"/>
      <c r="AC39" s="76"/>
    </row>
    <row r="40" spans="2:29" ht="12.75" x14ac:dyDescent="0.2">
      <c r="B40" s="99">
        <v>2010</v>
      </c>
      <c r="C40" s="100">
        <v>13051.799698263472</v>
      </c>
      <c r="D40" s="100">
        <v>12446.865</v>
      </c>
      <c r="E40" s="101">
        <v>8.593434857452488E-2</v>
      </c>
      <c r="F40" s="32">
        <v>799.75</v>
      </c>
      <c r="G40" s="39"/>
      <c r="H40" s="102">
        <v>40704</v>
      </c>
      <c r="I40" s="39"/>
      <c r="J40" s="32">
        <v>632</v>
      </c>
      <c r="K40" s="32"/>
      <c r="L40" s="103">
        <f t="shared" si="2"/>
        <v>1.2654272151898733</v>
      </c>
      <c r="M40" s="30">
        <f t="shared" si="1"/>
        <v>571.97310126582272</v>
      </c>
      <c r="N40" s="76"/>
      <c r="O40" s="120"/>
      <c r="P40" s="121"/>
      <c r="Q40" s="122"/>
      <c r="R40" s="120"/>
      <c r="U40" s="75"/>
      <c r="V40" s="76"/>
      <c r="W40" s="122"/>
      <c r="X40" s="95"/>
      <c r="Y40" s="124"/>
      <c r="Z40" s="76"/>
      <c r="AA40" s="76"/>
      <c r="AB40" s="80"/>
      <c r="AC40" s="76"/>
    </row>
    <row r="41" spans="2:29" ht="12.75" x14ac:dyDescent="0.2">
      <c r="B41" s="19">
        <v>2020</v>
      </c>
      <c r="C41" s="96">
        <v>14881</v>
      </c>
      <c r="D41" s="96">
        <v>14087</v>
      </c>
      <c r="E41" s="97">
        <v>8.3000000000000004E-2</v>
      </c>
      <c r="F41" s="21">
        <v>735.25</v>
      </c>
      <c r="G41" s="21"/>
      <c r="H41" s="147">
        <v>44323</v>
      </c>
      <c r="I41" s="65"/>
      <c r="J41" s="21">
        <v>482.25</v>
      </c>
      <c r="K41" s="21"/>
      <c r="L41" s="98">
        <f t="shared" si="2"/>
        <v>1.5246241575946087</v>
      </c>
      <c r="M41" s="40">
        <f t="shared" si="1"/>
        <v>689.13011923276315</v>
      </c>
      <c r="N41" s="76"/>
      <c r="O41" s="120"/>
      <c r="P41" s="121"/>
      <c r="Q41" s="122"/>
      <c r="R41" s="87"/>
      <c r="X41" s="95"/>
      <c r="Y41" s="124"/>
      <c r="Z41" s="76"/>
      <c r="AA41" s="76"/>
      <c r="AB41" s="80"/>
      <c r="AC41" s="76"/>
    </row>
    <row r="42" spans="2:29" ht="12.75" x14ac:dyDescent="0.2">
      <c r="B42" s="99">
        <v>2011</v>
      </c>
      <c r="C42" s="100">
        <v>12507.640589488681</v>
      </c>
      <c r="D42" s="100">
        <v>12359.611999999999</v>
      </c>
      <c r="E42" s="101">
        <v>7.8250312907931441E-2</v>
      </c>
      <c r="F42" s="32">
        <v>794</v>
      </c>
      <c r="G42" s="39"/>
      <c r="H42" s="102">
        <v>41103</v>
      </c>
      <c r="I42" s="39"/>
      <c r="J42" s="32">
        <v>673.75</v>
      </c>
      <c r="K42" s="32"/>
      <c r="L42" s="103">
        <f t="shared" si="2"/>
        <v>1.1784786641929499</v>
      </c>
      <c r="M42" s="30">
        <f t="shared" si="1"/>
        <v>532.67235621521331</v>
      </c>
      <c r="N42" s="76"/>
      <c r="O42" s="76"/>
    </row>
    <row r="43" spans="2:29" ht="12.75" x14ac:dyDescent="0.2">
      <c r="B43" s="19">
        <v>2012</v>
      </c>
      <c r="C43" s="96">
        <v>11047.535124200811</v>
      </c>
      <c r="D43" s="96">
        <v>10755.111000000001</v>
      </c>
      <c r="E43" s="97">
        <v>7.3063793049267398E-2</v>
      </c>
      <c r="F43" s="21">
        <v>738.75</v>
      </c>
      <c r="G43" s="21"/>
      <c r="H43" s="147">
        <v>41306</v>
      </c>
      <c r="I43" s="65"/>
      <c r="J43" s="21">
        <v>690.75</v>
      </c>
      <c r="K43" s="21"/>
      <c r="L43" s="98">
        <f t="shared" si="2"/>
        <v>1.0694896851248643</v>
      </c>
      <c r="M43" s="40">
        <f t="shared" si="1"/>
        <v>483.40933767643867</v>
      </c>
      <c r="N43" s="76"/>
      <c r="O43" s="120"/>
      <c r="P43" s="121"/>
      <c r="Q43" s="122"/>
      <c r="R43" s="87"/>
      <c r="W43" s="171"/>
      <c r="X43" s="172"/>
      <c r="Y43" s="172"/>
      <c r="Z43" s="76"/>
      <c r="AA43" s="76"/>
      <c r="AB43" s="80"/>
      <c r="AC43" s="76"/>
    </row>
    <row r="44" spans="2:29" ht="12.75" x14ac:dyDescent="0.2">
      <c r="B44" s="99">
        <v>1995</v>
      </c>
      <c r="C44" s="100">
        <v>8548</v>
      </c>
      <c r="D44" s="100">
        <v>7400</v>
      </c>
      <c r="E44" s="101">
        <v>4.9836218998596166E-2</v>
      </c>
      <c r="F44" s="32">
        <v>554.5</v>
      </c>
      <c r="G44" s="39"/>
      <c r="H44" s="102">
        <v>35258</v>
      </c>
      <c r="I44" s="39"/>
      <c r="J44" s="32">
        <v>372.75</v>
      </c>
      <c r="K44" s="32"/>
      <c r="L44" s="103">
        <f t="shared" si="2"/>
        <v>1.4875922199865861</v>
      </c>
      <c r="M44" s="30">
        <f t="shared" si="1"/>
        <v>672.39168343393692</v>
      </c>
      <c r="N44" s="76"/>
      <c r="O44" s="120"/>
      <c r="P44" s="121"/>
      <c r="Q44" s="122"/>
      <c r="R44" s="75"/>
      <c r="U44" s="75"/>
      <c r="V44" s="76"/>
      <c r="W44" s="76"/>
      <c r="X44" s="172"/>
      <c r="Y44" s="172"/>
      <c r="Z44" s="76"/>
      <c r="AA44" s="76"/>
      <c r="AB44" s="80"/>
      <c r="AC44" s="76"/>
    </row>
    <row r="45" spans="2:29" ht="12.75" x14ac:dyDescent="0.2">
      <c r="B45" s="19"/>
      <c r="C45" s="96"/>
      <c r="D45" s="96"/>
      <c r="E45" s="97"/>
      <c r="F45" s="21"/>
      <c r="G45" s="21"/>
      <c r="H45" s="35"/>
      <c r="I45" s="125"/>
      <c r="J45" s="21"/>
      <c r="K45" s="21"/>
      <c r="L45" s="98"/>
      <c r="M45" s="21"/>
      <c r="N45" s="76"/>
      <c r="O45" s="120"/>
      <c r="P45" s="121"/>
      <c r="Q45" s="122"/>
      <c r="R45" s="75"/>
      <c r="U45" s="75"/>
      <c r="V45" s="76"/>
      <c r="W45" s="76"/>
      <c r="X45" s="172"/>
      <c r="Y45" s="172"/>
      <c r="Z45" s="76"/>
      <c r="AA45" s="76"/>
      <c r="AB45" s="80"/>
      <c r="AC45" s="76"/>
    </row>
    <row r="46" spans="2:29" ht="12.75" x14ac:dyDescent="0.2">
      <c r="B46" s="19"/>
      <c r="C46" s="96"/>
      <c r="D46" s="96"/>
      <c r="E46" s="49">
        <f>MEDIAN(E9:E44)</f>
        <v>0.12823724223985161</v>
      </c>
      <c r="F46" s="21"/>
      <c r="G46" s="21"/>
      <c r="H46" s="35"/>
      <c r="I46" s="125"/>
      <c r="J46" s="51">
        <f>MEDIAN(J9:J44)</f>
        <v>371.25</v>
      </c>
      <c r="K46" s="21"/>
      <c r="L46" s="49">
        <f>MEDIAN(L9:L44)</f>
        <v>1.1018929029551918</v>
      </c>
      <c r="M46" s="51">
        <f>MEDIAN(M9:M44)</f>
        <v>498.05559213574668</v>
      </c>
      <c r="N46" s="76"/>
      <c r="O46" s="120"/>
      <c r="P46" s="121"/>
      <c r="Q46" s="122"/>
      <c r="R46" s="75"/>
      <c r="U46" s="75"/>
      <c r="V46" s="76"/>
      <c r="W46" s="76"/>
      <c r="X46" s="172"/>
      <c r="Y46" s="172"/>
      <c r="Z46" s="76"/>
      <c r="AA46" s="76"/>
      <c r="AB46" s="80"/>
      <c r="AC46" s="76"/>
    </row>
    <row r="47" spans="2:29" ht="12.75" x14ac:dyDescent="0.2">
      <c r="B47" s="66" t="s">
        <v>22</v>
      </c>
      <c r="C47" s="96"/>
      <c r="D47" s="96"/>
      <c r="E47" s="97"/>
      <c r="F47" s="173"/>
      <c r="G47" s="21"/>
      <c r="H47" s="174"/>
      <c r="I47" s="107"/>
      <c r="J47" s="65"/>
      <c r="K47" s="21"/>
      <c r="L47" s="98"/>
      <c r="M47" s="21"/>
      <c r="N47" s="80"/>
      <c r="O47" s="76"/>
      <c r="P47" s="72"/>
      <c r="Q47" s="75"/>
      <c r="R47" s="75"/>
      <c r="S47" s="74"/>
      <c r="T47" s="74"/>
      <c r="U47" s="76"/>
      <c r="V47" s="121"/>
      <c r="W47" s="76"/>
      <c r="X47" s="76"/>
      <c r="Y47" s="76"/>
      <c r="Z47" s="76"/>
      <c r="AA47" s="80"/>
      <c r="AB47" s="76"/>
    </row>
    <row r="48" spans="2:29" ht="12.75" x14ac:dyDescent="0.2">
      <c r="B48" s="19"/>
      <c r="C48" s="4"/>
      <c r="D48" s="4"/>
      <c r="E48" s="126" t="s">
        <v>54</v>
      </c>
      <c r="F48" s="4"/>
      <c r="G48" s="4"/>
      <c r="H48" s="4"/>
      <c r="I48" s="4"/>
      <c r="J48" s="4"/>
      <c r="K48" s="4"/>
      <c r="L48" s="98"/>
      <c r="M48" s="21"/>
      <c r="O48" s="76"/>
      <c r="P48" s="72"/>
      <c r="Q48" s="122"/>
      <c r="R48" s="75"/>
      <c r="S48" s="74"/>
      <c r="T48" s="74"/>
      <c r="U48" s="76"/>
      <c r="V48" s="76"/>
      <c r="W48" s="172"/>
      <c r="X48" s="172"/>
      <c r="Y48" s="76"/>
      <c r="Z48" s="76"/>
      <c r="AA48" s="80"/>
      <c r="AB48" s="76"/>
    </row>
    <row r="49" spans="2:29" ht="12.75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98"/>
      <c r="M49" s="21"/>
      <c r="O49" s="87"/>
      <c r="P49" s="87"/>
      <c r="Q49" s="87"/>
      <c r="U49" s="76"/>
      <c r="V49" s="76"/>
      <c r="W49" s="172"/>
      <c r="X49" s="172"/>
      <c r="Y49" s="76"/>
      <c r="Z49" s="76"/>
      <c r="AA49" s="80"/>
      <c r="AB49" s="76"/>
    </row>
    <row r="50" spans="2:29" ht="12.75" x14ac:dyDescent="0.2">
      <c r="B50" s="19">
        <v>1992</v>
      </c>
      <c r="C50" s="96">
        <v>8469</v>
      </c>
      <c r="D50" s="96">
        <v>9477</v>
      </c>
      <c r="E50" s="97">
        <v>0.249</v>
      </c>
      <c r="F50" s="21">
        <v>248.5</v>
      </c>
      <c r="G50" s="24"/>
      <c r="H50" s="107">
        <v>34169</v>
      </c>
      <c r="I50" s="24"/>
      <c r="J50" s="21">
        <v>229</v>
      </c>
      <c r="K50" s="21"/>
      <c r="L50" s="98">
        <f t="shared" ref="L50:L57" si="3">F50/J50</f>
        <v>1.0851528384279476</v>
      </c>
      <c r="M50" s="40">
        <f t="shared" ref="M50:M57" si="4">L50*J$26</f>
        <v>490.48908296943233</v>
      </c>
      <c r="N50" s="76"/>
      <c r="O50" s="87"/>
      <c r="P50" s="87"/>
      <c r="Q50" s="87"/>
      <c r="W50" s="171"/>
      <c r="X50" s="171"/>
      <c r="Y50" s="171"/>
    </row>
    <row r="51" spans="2:29" ht="12.75" x14ac:dyDescent="0.2">
      <c r="B51" s="99">
        <v>2004</v>
      </c>
      <c r="C51" s="100">
        <v>10661</v>
      </c>
      <c r="D51" s="100">
        <v>11806</v>
      </c>
      <c r="E51" s="101">
        <v>0.19830156645718011</v>
      </c>
      <c r="F51" s="32">
        <v>246</v>
      </c>
      <c r="G51" s="32"/>
      <c r="H51" s="37">
        <v>38547</v>
      </c>
      <c r="I51" s="38"/>
      <c r="J51" s="32">
        <v>217.25</v>
      </c>
      <c r="K51" s="32"/>
      <c r="L51" s="103">
        <f t="shared" si="3"/>
        <v>1.1323360184119677</v>
      </c>
      <c r="M51" s="30">
        <f t="shared" si="4"/>
        <v>511.81588032220941</v>
      </c>
      <c r="N51" s="76"/>
      <c r="O51" s="80"/>
      <c r="P51" s="87"/>
      <c r="Q51" s="87"/>
    </row>
    <row r="52" spans="2:29" ht="12.75" x14ac:dyDescent="0.2">
      <c r="B52" s="19">
        <v>1990</v>
      </c>
      <c r="C52" s="96">
        <v>7761</v>
      </c>
      <c r="D52" s="96">
        <v>7934</v>
      </c>
      <c r="E52" s="97">
        <v>0.19600000000000001</v>
      </c>
      <c r="F52" s="21">
        <v>268.5</v>
      </c>
      <c r="G52" s="24"/>
      <c r="H52" s="107">
        <v>33343</v>
      </c>
      <c r="I52" s="24"/>
      <c r="J52" s="21">
        <v>245.25</v>
      </c>
      <c r="K52" s="21"/>
      <c r="L52" s="98">
        <f t="shared" si="3"/>
        <v>1.0948012232415902</v>
      </c>
      <c r="M52" s="40">
        <f t="shared" si="4"/>
        <v>494.8501529051988</v>
      </c>
      <c r="N52" s="76"/>
      <c r="O52" s="87"/>
      <c r="P52" s="87"/>
    </row>
    <row r="53" spans="2:29" ht="12.75" x14ac:dyDescent="0.2">
      <c r="B53" s="99">
        <v>1994</v>
      </c>
      <c r="C53" s="100">
        <v>9352</v>
      </c>
      <c r="D53" s="100">
        <v>10051</v>
      </c>
      <c r="E53" s="101">
        <v>0.16659538066723695</v>
      </c>
      <c r="F53" s="32">
        <v>300</v>
      </c>
      <c r="G53" s="32"/>
      <c r="H53" s="37">
        <v>34897</v>
      </c>
      <c r="I53" s="38"/>
      <c r="J53" s="32">
        <v>240.75</v>
      </c>
      <c r="K53" s="32"/>
      <c r="L53" s="103">
        <f t="shared" si="3"/>
        <v>1.2461059190031152</v>
      </c>
      <c r="M53" s="30">
        <f t="shared" si="4"/>
        <v>563.2398753894081</v>
      </c>
      <c r="N53" s="76"/>
      <c r="O53" s="80"/>
      <c r="P53" s="87"/>
      <c r="Q53" s="87"/>
    </row>
    <row r="54" spans="2:29" ht="12.75" x14ac:dyDescent="0.2">
      <c r="B54" s="19">
        <v>2001</v>
      </c>
      <c r="C54" s="96">
        <v>9816</v>
      </c>
      <c r="D54" s="96">
        <v>9502.58</v>
      </c>
      <c r="E54" s="97">
        <v>0.1625843520782394</v>
      </c>
      <c r="F54" s="21">
        <v>235</v>
      </c>
      <c r="G54" s="24"/>
      <c r="H54" s="107">
        <v>37439</v>
      </c>
      <c r="I54" s="24"/>
      <c r="J54" s="21">
        <v>221.5</v>
      </c>
      <c r="K54" s="21"/>
      <c r="L54" s="98">
        <f t="shared" si="3"/>
        <v>1.0609480812641083</v>
      </c>
      <c r="M54" s="40">
        <f t="shared" si="4"/>
        <v>479.54853273137695</v>
      </c>
      <c r="N54" s="76"/>
      <c r="O54" s="76"/>
    </row>
    <row r="55" spans="2:29" ht="12.75" x14ac:dyDescent="0.2">
      <c r="B55" s="99">
        <v>2018</v>
      </c>
      <c r="C55" s="100">
        <v>14288</v>
      </c>
      <c r="D55" s="100">
        <v>14340</v>
      </c>
      <c r="E55" s="101">
        <v>0.155</v>
      </c>
      <c r="F55" s="32">
        <v>464.25</v>
      </c>
      <c r="G55" s="32"/>
      <c r="H55" s="37">
        <v>43634</v>
      </c>
      <c r="I55" s="38"/>
      <c r="J55" s="32">
        <v>392</v>
      </c>
      <c r="K55" s="32"/>
      <c r="L55" s="103">
        <f t="shared" si="3"/>
        <v>1.184311224489796</v>
      </c>
      <c r="M55" s="30">
        <f t="shared" si="4"/>
        <v>535.30867346938783</v>
      </c>
      <c r="N55" s="76"/>
      <c r="O55" s="80"/>
      <c r="P55" s="87"/>
      <c r="Q55" s="87"/>
    </row>
    <row r="56" spans="2:29" ht="12.75" x14ac:dyDescent="0.2">
      <c r="B56" s="19">
        <v>2011</v>
      </c>
      <c r="C56" s="96">
        <v>12507.640589488681</v>
      </c>
      <c r="D56" s="96">
        <v>12359.611999999999</v>
      </c>
      <c r="E56" s="97">
        <v>7.8250312907931441E-2</v>
      </c>
      <c r="F56" s="21">
        <v>794</v>
      </c>
      <c r="G56" s="24"/>
      <c r="H56" s="107">
        <v>41103</v>
      </c>
      <c r="I56" s="24"/>
      <c r="J56" s="21">
        <v>673.75</v>
      </c>
      <c r="K56" s="21"/>
      <c r="L56" s="98">
        <f t="shared" si="3"/>
        <v>1.1784786641929499</v>
      </c>
      <c r="M56" s="40">
        <f t="shared" si="4"/>
        <v>532.67235621521331</v>
      </c>
      <c r="N56" s="136"/>
    </row>
    <row r="57" spans="2:29" ht="12.75" x14ac:dyDescent="0.2">
      <c r="B57" s="29">
        <v>2012</v>
      </c>
      <c r="C57" s="100">
        <v>11047.535124200811</v>
      </c>
      <c r="D57" s="100">
        <v>10755.111000000001</v>
      </c>
      <c r="E57" s="101">
        <v>7.3063793049267398E-2</v>
      </c>
      <c r="F57" s="32">
        <v>738.75</v>
      </c>
      <c r="G57" s="32"/>
      <c r="H57" s="159">
        <v>41306</v>
      </c>
      <c r="I57" s="109"/>
      <c r="J57" s="32">
        <v>690.75</v>
      </c>
      <c r="K57" s="32"/>
      <c r="L57" s="103">
        <f t="shared" si="3"/>
        <v>1.0694896851248643</v>
      </c>
      <c r="M57" s="30">
        <f t="shared" si="4"/>
        <v>483.40933767643867</v>
      </c>
      <c r="N57" s="76"/>
      <c r="O57" s="120"/>
      <c r="P57" s="121"/>
      <c r="Q57" s="122"/>
      <c r="R57" s="87"/>
      <c r="W57" s="171"/>
      <c r="X57" s="172"/>
      <c r="Y57" s="172"/>
      <c r="Z57" s="76"/>
      <c r="AA57" s="76"/>
      <c r="AB57" s="80"/>
      <c r="AC57" s="76"/>
    </row>
    <row r="58" spans="2:29" ht="12.75" x14ac:dyDescent="0.2">
      <c r="B58" s="132"/>
      <c r="C58" s="96"/>
      <c r="D58" s="96"/>
      <c r="E58" s="49"/>
      <c r="F58" s="21"/>
      <c r="H58" s="35"/>
      <c r="I58" s="125"/>
      <c r="J58" s="51"/>
      <c r="K58" s="21"/>
      <c r="L58" s="49"/>
      <c r="M58" s="51"/>
      <c r="N58" s="136"/>
      <c r="O58" s="175"/>
    </row>
    <row r="59" spans="2:29" ht="12.75" x14ac:dyDescent="0.2">
      <c r="B59" s="66" t="s">
        <v>22</v>
      </c>
      <c r="C59" s="133"/>
      <c r="D59" s="133"/>
      <c r="E59" s="49">
        <f>MEDIAN(E50:E56)</f>
        <v>0.16659538066723695</v>
      </c>
      <c r="F59" s="133"/>
      <c r="G59" s="119"/>
      <c r="H59" s="119"/>
      <c r="I59" s="135"/>
      <c r="J59" s="51">
        <f>MEDIAN(J50:J56)</f>
        <v>240.75</v>
      </c>
      <c r="K59" s="119"/>
      <c r="L59" s="49">
        <f>MEDIAN(L50:L56)</f>
        <v>1.1323360184119677</v>
      </c>
      <c r="M59" s="51">
        <f>MEDIAN(M50:M56)</f>
        <v>511.81588032220941</v>
      </c>
      <c r="N59" s="136"/>
      <c r="O59" s="175"/>
    </row>
    <row r="60" spans="2:29" x14ac:dyDescent="0.15">
      <c r="B60" s="132"/>
      <c r="C60" s="133"/>
      <c r="D60" s="133"/>
      <c r="E60" s="133"/>
      <c r="F60" s="133"/>
      <c r="G60" s="127"/>
      <c r="H60" s="127"/>
      <c r="I60" s="127"/>
      <c r="J60" s="127"/>
      <c r="K60" s="119"/>
      <c r="L60" s="119"/>
      <c r="M60" s="175"/>
      <c r="N60" s="127"/>
    </row>
    <row r="61" spans="2:29" x14ac:dyDescent="0.15">
      <c r="C61" s="133"/>
      <c r="D61" s="133"/>
      <c r="E61" s="176"/>
      <c r="F61" s="176"/>
      <c r="G61" s="171"/>
      <c r="H61" s="171"/>
      <c r="K61" s="171"/>
      <c r="L61" s="171"/>
      <c r="M61" s="175"/>
      <c r="N61" s="175"/>
    </row>
    <row r="62" spans="2:29" x14ac:dyDescent="0.15">
      <c r="C62" s="176"/>
      <c r="D62" s="176"/>
      <c r="G62" s="171"/>
      <c r="H62" s="171"/>
      <c r="K62" s="171"/>
      <c r="L62" s="171"/>
      <c r="M62" s="175"/>
      <c r="N62" s="175"/>
    </row>
    <row r="63" spans="2:29" x14ac:dyDescent="0.15">
      <c r="C63" s="176"/>
      <c r="D63" s="176"/>
      <c r="G63" s="171"/>
      <c r="H63" s="171"/>
      <c r="K63" s="171"/>
      <c r="L63" s="171"/>
      <c r="M63" s="175"/>
      <c r="N63" s="175"/>
      <c r="O63" s="175"/>
    </row>
    <row r="64" spans="2:29" x14ac:dyDescent="0.15">
      <c r="C64" s="176"/>
      <c r="D64" s="176"/>
      <c r="G64" s="171"/>
      <c r="H64" s="171"/>
      <c r="K64" s="171"/>
      <c r="L64" s="171"/>
      <c r="M64" s="175"/>
      <c r="N64" s="175"/>
      <c r="O64" s="175"/>
    </row>
    <row r="65" spans="2:15" x14ac:dyDescent="0.15">
      <c r="C65" s="176"/>
      <c r="D65" s="176"/>
      <c r="G65" s="171"/>
      <c r="H65" s="171"/>
      <c r="I65" s="177"/>
      <c r="J65" s="177"/>
      <c r="N65" s="175"/>
      <c r="O65" s="175"/>
    </row>
    <row r="66" spans="2:15" x14ac:dyDescent="0.15">
      <c r="I66" s="177"/>
      <c r="J66" s="177"/>
      <c r="K66" s="171"/>
      <c r="L66" s="171"/>
      <c r="M66" s="175"/>
      <c r="O66" s="175"/>
    </row>
    <row r="67" spans="2:15" x14ac:dyDescent="0.15">
      <c r="B67" s="178"/>
      <c r="C67" s="176"/>
      <c r="D67" s="176"/>
      <c r="G67" s="171"/>
      <c r="H67" s="171"/>
      <c r="I67" s="177"/>
      <c r="J67" s="177"/>
      <c r="K67" s="171"/>
      <c r="L67" s="171"/>
      <c r="M67" s="175"/>
      <c r="N67" s="175"/>
      <c r="O67" s="175"/>
    </row>
    <row r="68" spans="2:15" x14ac:dyDescent="0.15">
      <c r="B68" s="178"/>
      <c r="I68" s="177"/>
      <c r="J68" s="177"/>
      <c r="K68" s="171"/>
      <c r="L68" s="171"/>
      <c r="N68" s="175"/>
      <c r="O68" s="175"/>
    </row>
    <row r="69" spans="2:15" x14ac:dyDescent="0.15">
      <c r="O69" s="175"/>
    </row>
    <row r="70" spans="2:15" x14ac:dyDescent="0.15">
      <c r="O70" s="175"/>
    </row>
    <row r="71" spans="2:15" x14ac:dyDescent="0.15">
      <c r="M71" s="175"/>
      <c r="O71" s="175"/>
    </row>
    <row r="72" spans="2:15" x14ac:dyDescent="0.15">
      <c r="B72" s="178"/>
      <c r="E72" s="176"/>
      <c r="F72" s="176"/>
      <c r="I72" s="177"/>
      <c r="J72" s="177"/>
      <c r="M72" s="175"/>
      <c r="N72" s="175"/>
      <c r="O72" s="175"/>
    </row>
    <row r="73" spans="2:15" x14ac:dyDescent="0.15">
      <c r="B73" s="178"/>
      <c r="E73" s="176"/>
      <c r="F73" s="176"/>
      <c r="I73" s="177"/>
      <c r="J73" s="177"/>
      <c r="M73" s="175"/>
      <c r="N73" s="175"/>
      <c r="O73" s="175"/>
    </row>
    <row r="74" spans="2:15" x14ac:dyDescent="0.15">
      <c r="B74" s="178"/>
      <c r="E74" s="176"/>
      <c r="F74" s="176"/>
      <c r="I74" s="177"/>
      <c r="J74" s="177"/>
      <c r="M74" s="175"/>
      <c r="N74" s="175"/>
      <c r="O74" s="175"/>
    </row>
    <row r="75" spans="2:15" x14ac:dyDescent="0.15">
      <c r="B75" s="178"/>
      <c r="E75" s="176"/>
      <c r="F75" s="176"/>
      <c r="I75" s="177"/>
      <c r="J75" s="177"/>
      <c r="M75" s="175"/>
      <c r="N75" s="175"/>
      <c r="O75" s="175"/>
    </row>
    <row r="76" spans="2:15" x14ac:dyDescent="0.15">
      <c r="B76" s="178"/>
      <c r="E76" s="176"/>
      <c r="F76" s="176"/>
      <c r="I76" s="177"/>
      <c r="J76" s="177"/>
      <c r="M76" s="175"/>
      <c r="N76" s="175"/>
      <c r="O76" s="175"/>
    </row>
    <row r="77" spans="2:15" x14ac:dyDescent="0.15">
      <c r="B77" s="178"/>
      <c r="E77" s="176"/>
      <c r="F77" s="176"/>
      <c r="I77" s="177"/>
      <c r="J77" s="177"/>
      <c r="M77" s="175"/>
      <c r="N77" s="175"/>
      <c r="O77" s="175"/>
    </row>
    <row r="78" spans="2:15" x14ac:dyDescent="0.15">
      <c r="B78" s="178"/>
      <c r="E78" s="176"/>
      <c r="F78" s="176"/>
      <c r="I78" s="177"/>
      <c r="J78" s="177"/>
      <c r="M78" s="175"/>
      <c r="N78" s="175"/>
      <c r="O78" s="175"/>
    </row>
    <row r="79" spans="2:15" x14ac:dyDescent="0.15">
      <c r="B79" s="178"/>
      <c r="E79" s="176"/>
      <c r="F79" s="176"/>
      <c r="I79" s="177"/>
      <c r="J79" s="177"/>
      <c r="M79" s="175"/>
      <c r="N79" s="175"/>
      <c r="O79" s="175"/>
    </row>
    <row r="80" spans="2:15" x14ac:dyDescent="0.15">
      <c r="B80" s="178"/>
      <c r="E80" s="176"/>
      <c r="F80" s="176"/>
      <c r="I80" s="177"/>
      <c r="J80" s="177"/>
      <c r="M80" s="175"/>
      <c r="N80" s="175"/>
      <c r="O80" s="175"/>
    </row>
    <row r="81" spans="2:15" x14ac:dyDescent="0.15">
      <c r="B81" s="178"/>
      <c r="E81" s="176"/>
      <c r="F81" s="176"/>
      <c r="I81" s="177"/>
      <c r="J81" s="177"/>
      <c r="M81" s="175"/>
      <c r="N81" s="175"/>
      <c r="O81" s="175"/>
    </row>
    <row r="82" spans="2:15" x14ac:dyDescent="0.15">
      <c r="B82" s="178"/>
      <c r="E82" s="176"/>
      <c r="F82" s="176"/>
      <c r="I82" s="177"/>
      <c r="J82" s="177"/>
      <c r="M82" s="175"/>
      <c r="N82" s="175"/>
      <c r="O82" s="175"/>
    </row>
    <row r="83" spans="2:15" x14ac:dyDescent="0.15">
      <c r="B83" s="178"/>
      <c r="E83" s="176"/>
      <c r="F83" s="176"/>
      <c r="I83" s="177"/>
      <c r="J83" s="177"/>
      <c r="M83" s="175"/>
      <c r="N83" s="175"/>
      <c r="O83" s="175"/>
    </row>
    <row r="84" spans="2:15" x14ac:dyDescent="0.15">
      <c r="B84" s="178"/>
      <c r="E84" s="176"/>
      <c r="F84" s="176"/>
      <c r="I84" s="177"/>
      <c r="J84" s="177"/>
      <c r="M84" s="175"/>
      <c r="N84" s="175"/>
      <c r="O84" s="175"/>
    </row>
    <row r="85" spans="2:15" x14ac:dyDescent="0.15">
      <c r="B85" s="178"/>
      <c r="E85" s="176"/>
      <c r="F85" s="176"/>
      <c r="I85" s="177"/>
      <c r="J85" s="177"/>
      <c r="M85" s="175"/>
      <c r="N85" s="175"/>
      <c r="O85" s="175"/>
    </row>
    <row r="86" spans="2:15" x14ac:dyDescent="0.15">
      <c r="B86" s="178"/>
      <c r="E86" s="176"/>
      <c r="F86" s="176"/>
      <c r="I86" s="177"/>
      <c r="J86" s="177"/>
      <c r="M86" s="175"/>
      <c r="N86" s="175"/>
      <c r="O86" s="175"/>
    </row>
    <row r="87" spans="2:15" x14ac:dyDescent="0.15">
      <c r="E87" s="176"/>
      <c r="F87" s="176"/>
      <c r="M87" s="175"/>
      <c r="N87" s="175"/>
      <c r="O87" s="175"/>
    </row>
    <row r="88" spans="2:15" x14ac:dyDescent="0.15">
      <c r="E88" s="176"/>
      <c r="F88" s="176"/>
      <c r="M88" s="175"/>
      <c r="N88" s="175"/>
      <c r="O88" s="175"/>
    </row>
    <row r="89" spans="2:15" x14ac:dyDescent="0.15">
      <c r="E89" s="176"/>
      <c r="F89" s="176"/>
      <c r="M89" s="175"/>
      <c r="N89" s="175"/>
      <c r="O89" s="175"/>
    </row>
    <row r="90" spans="2:15" x14ac:dyDescent="0.15">
      <c r="B90" s="178"/>
      <c r="E90" s="176"/>
      <c r="F90" s="176"/>
      <c r="I90" s="177"/>
      <c r="J90" s="177"/>
      <c r="M90" s="175"/>
      <c r="N90" s="175"/>
      <c r="O90" s="175"/>
    </row>
    <row r="91" spans="2:15" x14ac:dyDescent="0.15">
      <c r="B91" s="178"/>
      <c r="E91" s="176"/>
      <c r="F91" s="176"/>
      <c r="I91" s="177"/>
      <c r="J91" s="177"/>
      <c r="M91" s="175"/>
      <c r="N91" s="175"/>
      <c r="O91" s="175"/>
    </row>
    <row r="92" spans="2:15" x14ac:dyDescent="0.15">
      <c r="B92" s="178"/>
      <c r="E92" s="176"/>
      <c r="F92" s="176"/>
      <c r="I92" s="177"/>
      <c r="J92" s="177"/>
      <c r="M92" s="175"/>
      <c r="N92" s="175"/>
    </row>
    <row r="93" spans="2:15" x14ac:dyDescent="0.15">
      <c r="B93" s="178"/>
      <c r="E93" s="176"/>
      <c r="F93" s="176"/>
      <c r="I93" s="177"/>
      <c r="J93" s="177"/>
      <c r="M93" s="175"/>
      <c r="N93" s="175"/>
    </row>
    <row r="94" spans="2:15" x14ac:dyDescent="0.15">
      <c r="B94" s="178"/>
      <c r="E94" s="176"/>
      <c r="F94" s="176"/>
      <c r="I94" s="177"/>
      <c r="J94" s="177"/>
      <c r="M94" s="175"/>
      <c r="N94" s="175"/>
    </row>
    <row r="95" spans="2:15" x14ac:dyDescent="0.15">
      <c r="B95" s="178"/>
      <c r="E95" s="176"/>
      <c r="F95" s="176"/>
      <c r="I95" s="177"/>
      <c r="J95" s="177"/>
      <c r="M95" s="175"/>
      <c r="N95" s="175"/>
    </row>
    <row r="96" spans="2:15" x14ac:dyDescent="0.15">
      <c r="B96" s="178"/>
      <c r="E96" s="176"/>
      <c r="F96" s="176"/>
      <c r="I96" s="177"/>
      <c r="J96" s="177"/>
      <c r="M96" s="175"/>
      <c r="N96" s="175"/>
    </row>
    <row r="97" spans="2:14" x14ac:dyDescent="0.15">
      <c r="B97" s="178"/>
      <c r="E97" s="176"/>
      <c r="F97" s="176"/>
      <c r="I97" s="177"/>
      <c r="J97" s="177"/>
      <c r="M97" s="175"/>
      <c r="N97" s="175"/>
    </row>
    <row r="98" spans="2:14" x14ac:dyDescent="0.15">
      <c r="B98" s="178"/>
      <c r="E98" s="176"/>
      <c r="F98" s="176"/>
      <c r="I98" s="177"/>
      <c r="J98" s="177"/>
      <c r="M98" s="175"/>
      <c r="N98" s="175"/>
    </row>
    <row r="99" spans="2:14" x14ac:dyDescent="0.15">
      <c r="B99" s="178"/>
      <c r="E99" s="176"/>
      <c r="F99" s="176"/>
      <c r="I99" s="177"/>
      <c r="J99" s="177"/>
      <c r="N99" s="175"/>
    </row>
  </sheetData>
  <printOptions gridLines="1" gridLinesSet="0"/>
  <pageMargins left="0.45" right="0.45" top="0.5" bottom="0.5" header="0.3" footer="0.3"/>
  <pageSetup scale="97" orientation="portrait" r:id="rId1"/>
  <headerFooter alignWithMargins="0"/>
  <rowBreaks count="1" manualBreakCount="1">
    <brk id="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753D-54E4-4884-954C-BCB0A5A36702}">
  <dimension ref="A1:AS95"/>
  <sheetViews>
    <sheetView workbookViewId="0">
      <selection sqref="A1:L54"/>
    </sheetView>
  </sheetViews>
  <sheetFormatPr defaultColWidth="13.42578125" defaultRowHeight="12.75" x14ac:dyDescent="0.2"/>
  <cols>
    <col min="1" max="1" width="10" style="4" customWidth="1"/>
    <col min="2" max="2" width="8.140625" style="4" bestFit="1" customWidth="1"/>
    <col min="3" max="3" width="4.85546875" style="4" customWidth="1"/>
    <col min="4" max="4" width="8.7109375" style="4" customWidth="1"/>
    <col min="5" max="5" width="6.42578125" style="4" customWidth="1"/>
    <col min="6" max="6" width="10.85546875" style="4" customWidth="1"/>
    <col min="7" max="7" width="4.85546875" style="4" customWidth="1"/>
    <col min="8" max="8" width="9.28515625" style="4" customWidth="1"/>
    <col min="9" max="9" width="7.42578125" style="4" customWidth="1"/>
    <col min="10" max="10" width="9.28515625" style="4" customWidth="1"/>
    <col min="11" max="11" width="8.5703125" style="4" bestFit="1" customWidth="1"/>
    <col min="12" max="12" width="11.7109375" style="4" customWidth="1"/>
    <col min="13" max="13" width="5.140625" style="4" customWidth="1"/>
    <col min="14" max="14" width="7.7109375" style="4" customWidth="1"/>
    <col min="15" max="15" width="8" style="4" bestFit="1" customWidth="1"/>
    <col min="16" max="16" width="6.42578125" style="4" customWidth="1"/>
    <col min="17" max="17" width="8.85546875" style="4" customWidth="1"/>
    <col min="18" max="18" width="6.42578125" style="4" customWidth="1"/>
    <col min="19" max="19" width="4" style="4" customWidth="1"/>
    <col min="20" max="20" width="8.7109375" style="4" customWidth="1"/>
    <col min="21" max="21" width="8" style="4" customWidth="1"/>
    <col min="22" max="22" width="9.140625" style="4" customWidth="1"/>
    <col min="23" max="23" width="8.28515625" style="4" customWidth="1"/>
    <col min="24" max="24" width="8.42578125" style="4" bestFit="1" customWidth="1"/>
    <col min="25" max="25" width="4.28515625" style="4" customWidth="1"/>
    <col min="26" max="26" width="6.5703125" style="4" customWidth="1"/>
    <col min="27" max="27" width="4.7109375" style="4" customWidth="1"/>
    <col min="28" max="28" width="8" style="4" customWidth="1"/>
    <col min="29" max="30" width="8" style="4" bestFit="1" customWidth="1"/>
    <col min="31" max="31" width="5.140625" style="4" customWidth="1"/>
    <col min="32" max="32" width="7.42578125" style="4" customWidth="1"/>
    <col min="33" max="33" width="5.85546875" style="4" customWidth="1"/>
    <col min="34" max="34" width="8.7109375" style="4" customWidth="1"/>
    <col min="35" max="35" width="8" style="4" customWidth="1"/>
    <col min="36" max="16384" width="13.42578125" style="4"/>
  </cols>
  <sheetData>
    <row r="1" spans="1:45" x14ac:dyDescent="0.2">
      <c r="A1" s="54"/>
      <c r="B1" s="2"/>
      <c r="D1" s="66" t="s">
        <v>61</v>
      </c>
      <c r="G1" s="2"/>
      <c r="H1" s="2"/>
      <c r="I1" s="2"/>
      <c r="J1" s="2"/>
      <c r="K1" s="2"/>
      <c r="P1" s="2"/>
      <c r="Q1" s="2"/>
      <c r="R1" s="2"/>
      <c r="S1" s="2"/>
      <c r="T1" s="2"/>
      <c r="U1" s="7"/>
      <c r="V1" s="2"/>
      <c r="W1" s="2"/>
      <c r="X1" s="2"/>
      <c r="AA1" s="2"/>
      <c r="AB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">
      <c r="A2" s="2"/>
      <c r="B2" s="2"/>
      <c r="C2" s="2"/>
      <c r="D2" s="54" t="s">
        <v>62</v>
      </c>
      <c r="E2" s="54"/>
      <c r="G2" s="2"/>
      <c r="H2" s="2"/>
      <c r="I2" s="2"/>
      <c r="J2" s="2"/>
      <c r="K2" s="2"/>
      <c r="O2" s="10"/>
      <c r="P2" s="2"/>
      <c r="Q2" s="2"/>
      <c r="R2" s="2"/>
      <c r="S2" s="2"/>
      <c r="T2" s="2"/>
      <c r="U2" s="2"/>
      <c r="W2" s="2"/>
      <c r="X2" s="2"/>
      <c r="AA2" s="2"/>
      <c r="AB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2">
      <c r="A3" s="8"/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5" x14ac:dyDescent="0.2">
      <c r="A4" s="11"/>
      <c r="B4" s="12" t="s">
        <v>63</v>
      </c>
      <c r="C4" s="2"/>
      <c r="D4" s="2"/>
      <c r="E4" s="2"/>
      <c r="F4" s="12" t="s">
        <v>64</v>
      </c>
      <c r="H4" s="2"/>
      <c r="I4" s="2"/>
      <c r="J4" s="12"/>
      <c r="K4" s="2"/>
      <c r="M4" s="2"/>
      <c r="N4" s="2"/>
      <c r="O4" s="2"/>
      <c r="P4" s="2"/>
      <c r="Q4" s="2"/>
      <c r="R4" s="2"/>
      <c r="S4" s="2"/>
      <c r="T4" s="12"/>
      <c r="U4" s="2"/>
      <c r="W4" s="12"/>
      <c r="X4" s="1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5" x14ac:dyDescent="0.2">
      <c r="A5" s="2"/>
      <c r="B5" s="12" t="s">
        <v>65</v>
      </c>
      <c r="C5" s="2"/>
      <c r="D5" s="12" t="s">
        <v>66</v>
      </c>
      <c r="E5" s="12"/>
      <c r="F5" s="12" t="s">
        <v>67</v>
      </c>
      <c r="H5" s="12" t="s">
        <v>68</v>
      </c>
      <c r="I5" s="12"/>
      <c r="J5" s="12"/>
      <c r="K5" s="12" t="s">
        <v>12</v>
      </c>
      <c r="L5" s="12" t="s">
        <v>69</v>
      </c>
      <c r="M5" s="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5" x14ac:dyDescent="0.2">
      <c r="A6" s="2"/>
      <c r="B6" s="12" t="s">
        <v>70</v>
      </c>
      <c r="C6" s="2"/>
      <c r="D6" s="12" t="s">
        <v>71</v>
      </c>
      <c r="E6" s="12"/>
      <c r="F6" s="12" t="s">
        <v>72</v>
      </c>
      <c r="H6" s="12" t="s">
        <v>72</v>
      </c>
      <c r="I6" s="12"/>
      <c r="J6" s="12" t="s">
        <v>73</v>
      </c>
      <c r="K6" s="12">
        <v>2026</v>
      </c>
      <c r="L6" s="12" t="s">
        <v>74</v>
      </c>
      <c r="M6" s="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5" x14ac:dyDescent="0.2">
      <c r="A7" s="88" t="s">
        <v>13</v>
      </c>
      <c r="B7" s="16" t="s">
        <v>16</v>
      </c>
      <c r="C7" s="17"/>
      <c r="D7" s="16" t="s">
        <v>17</v>
      </c>
      <c r="E7" s="16"/>
      <c r="F7" s="16" t="s">
        <v>17</v>
      </c>
      <c r="H7" s="16" t="s">
        <v>17</v>
      </c>
      <c r="I7" s="16"/>
      <c r="J7" s="16" t="s">
        <v>18</v>
      </c>
      <c r="K7" s="16" t="s">
        <v>52</v>
      </c>
      <c r="L7" s="16" t="s">
        <v>75</v>
      </c>
      <c r="M7" s="1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5" x14ac:dyDescent="0.2">
      <c r="A8" s="2"/>
      <c r="C8" s="2"/>
      <c r="F8" s="2"/>
      <c r="H8" s="2"/>
      <c r="I8" s="2"/>
      <c r="J8" s="2"/>
      <c r="K8" s="2"/>
      <c r="M8" s="1"/>
      <c r="N8" s="2"/>
      <c r="O8" s="2"/>
      <c r="P8" s="2"/>
      <c r="Q8" s="2"/>
      <c r="R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45" x14ac:dyDescent="0.2">
      <c r="A9" s="2"/>
      <c r="B9" s="2"/>
      <c r="D9" s="2" t="s">
        <v>76</v>
      </c>
      <c r="E9" s="2"/>
      <c r="F9" s="2"/>
      <c r="G9" s="2"/>
      <c r="H9" s="2"/>
      <c r="I9" s="2"/>
      <c r="J9" s="2"/>
      <c r="K9" s="2"/>
      <c r="M9" s="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4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45" x14ac:dyDescent="0.2">
      <c r="A11" s="29">
        <v>2018</v>
      </c>
      <c r="B11" s="69">
        <v>0.32600000000000001</v>
      </c>
      <c r="C11" s="29"/>
      <c r="D11" s="32">
        <v>982.25</v>
      </c>
      <c r="E11" s="29"/>
      <c r="F11" s="37">
        <v>43361</v>
      </c>
      <c r="G11" s="29"/>
      <c r="H11" s="179">
        <v>812.25</v>
      </c>
      <c r="I11" s="29"/>
      <c r="J11" s="69">
        <f t="shared" ref="J11:J40" si="0">H11/D11</f>
        <v>0.82692797149401887</v>
      </c>
      <c r="K11" s="32">
        <f>J11*$D$18</f>
        <v>878.81770170526852</v>
      </c>
      <c r="L11" s="180">
        <v>1.0649999999999999</v>
      </c>
      <c r="M11" s="19"/>
      <c r="N11" s="25"/>
      <c r="O11" s="25"/>
      <c r="P11" s="25"/>
      <c r="Q11" s="2"/>
      <c r="R11" s="26"/>
      <c r="S11" s="2"/>
      <c r="T11" s="27"/>
      <c r="U11" s="2"/>
      <c r="V11" s="28"/>
      <c r="W11" s="2"/>
      <c r="X11" s="26"/>
      <c r="Y11" s="28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45" x14ac:dyDescent="0.2">
      <c r="A12" s="19">
        <v>2024</v>
      </c>
      <c r="B12" s="68">
        <v>0.29899999999999999</v>
      </c>
      <c r="C12" s="19"/>
      <c r="D12" s="21">
        <v>1222</v>
      </c>
      <c r="E12" s="19"/>
      <c r="F12" s="35">
        <v>45520</v>
      </c>
      <c r="G12" s="19"/>
      <c r="H12" s="21">
        <v>955</v>
      </c>
      <c r="I12" s="19"/>
      <c r="J12" s="68">
        <f>H12/D12</f>
        <v>0.78150572831423892</v>
      </c>
      <c r="K12" s="21">
        <f t="shared" ref="K12:K40" si="1">J12*$D$18</f>
        <v>830.54521276595744</v>
      </c>
      <c r="L12" s="181">
        <v>1.1060000000000001</v>
      </c>
      <c r="M12" s="19"/>
      <c r="N12" s="25"/>
      <c r="O12" s="25"/>
      <c r="P12" s="25"/>
      <c r="Q12" s="2"/>
      <c r="R12" s="26"/>
      <c r="S12" s="2"/>
      <c r="T12" s="27"/>
      <c r="U12" s="2"/>
      <c r="V12" s="28"/>
      <c r="W12" s="2"/>
      <c r="X12" s="26"/>
      <c r="Y12" s="28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45" s="5" customFormat="1" x14ac:dyDescent="0.2">
      <c r="A13" s="99" t="s">
        <v>77</v>
      </c>
      <c r="B13" s="69">
        <v>0.3</v>
      </c>
      <c r="C13" s="29"/>
      <c r="D13" s="32">
        <v>1397</v>
      </c>
      <c r="E13" s="32"/>
      <c r="F13" s="37">
        <v>45077</v>
      </c>
      <c r="G13" s="36"/>
      <c r="H13" s="32">
        <v>1130.5</v>
      </c>
      <c r="I13" s="29"/>
      <c r="J13" s="69">
        <f t="shared" si="0"/>
        <v>0.80923407301360062</v>
      </c>
      <c r="K13" s="32">
        <f t="shared" si="1"/>
        <v>860.01351109520408</v>
      </c>
      <c r="L13" s="69">
        <v>1.0953999999999999</v>
      </c>
      <c r="M13" s="42"/>
      <c r="N13" s="43"/>
      <c r="O13" s="43"/>
      <c r="P13" s="43"/>
      <c r="Q13" s="43"/>
      <c r="R13" s="44"/>
      <c r="S13" s="44"/>
      <c r="T13" s="45"/>
      <c r="U13" s="45"/>
      <c r="V13" s="46"/>
      <c r="W13" s="46"/>
      <c r="X13" s="44"/>
      <c r="Y13" s="46"/>
      <c r="Z13" s="41"/>
      <c r="AA13" s="41"/>
      <c r="AB13" s="41"/>
      <c r="AC13" s="41"/>
      <c r="AD13" s="41"/>
      <c r="AE13" s="41"/>
      <c r="AF13" s="41"/>
      <c r="AG13" s="41"/>
      <c r="AH13" s="41"/>
      <c r="AI13" s="41"/>
    </row>
    <row r="14" spans="1:45" x14ac:dyDescent="0.2">
      <c r="A14" s="106" t="s">
        <v>78</v>
      </c>
      <c r="B14" s="68">
        <v>0.29499999999999998</v>
      </c>
      <c r="C14" s="19"/>
      <c r="D14" s="21">
        <v>1028</v>
      </c>
      <c r="E14" s="21"/>
      <c r="F14" s="35">
        <v>45756</v>
      </c>
      <c r="H14" s="21">
        <v>971.25</v>
      </c>
      <c r="I14" s="19"/>
      <c r="J14" s="68">
        <f>H14/D14</f>
        <v>0.94479571984435795</v>
      </c>
      <c r="K14" s="21">
        <f t="shared" si="1"/>
        <v>1004.0816512645914</v>
      </c>
      <c r="L14" s="68">
        <v>1.03</v>
      </c>
      <c r="M14" s="19"/>
      <c r="N14" s="25"/>
      <c r="O14" s="25"/>
      <c r="P14" s="25"/>
      <c r="Q14" s="2"/>
      <c r="R14" s="26"/>
      <c r="S14" s="2"/>
      <c r="T14" s="27"/>
      <c r="U14" s="2"/>
      <c r="V14" s="28"/>
      <c r="W14" s="2"/>
      <c r="X14" s="26"/>
      <c r="Y14" s="28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45" x14ac:dyDescent="0.2">
      <c r="A15" s="29">
        <v>2016</v>
      </c>
      <c r="B15" s="69">
        <v>0.28999999999999998</v>
      </c>
      <c r="C15" s="29"/>
      <c r="D15" s="32">
        <v>872.75</v>
      </c>
      <c r="E15" s="29"/>
      <c r="F15" s="37">
        <v>42431</v>
      </c>
      <c r="G15" s="29"/>
      <c r="H15" s="179">
        <v>868</v>
      </c>
      <c r="I15" s="29"/>
      <c r="J15" s="69">
        <f t="shared" si="0"/>
        <v>0.99455743340017189</v>
      </c>
      <c r="K15" s="32">
        <f t="shared" si="1"/>
        <v>1056.9659123460326</v>
      </c>
      <c r="L15" s="180">
        <v>1.11430395913155</v>
      </c>
      <c r="M15" s="66"/>
      <c r="N15" s="43"/>
      <c r="O15" s="43"/>
      <c r="P15" s="43"/>
      <c r="Q15" s="43"/>
      <c r="R15" s="44"/>
      <c r="S15" s="44"/>
      <c r="T15" s="45"/>
      <c r="U15" s="45"/>
      <c r="V15" s="46"/>
      <c r="W15" s="46"/>
      <c r="X15" s="44"/>
      <c r="Y15" s="46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45" x14ac:dyDescent="0.2">
      <c r="A16" s="106">
        <v>2017</v>
      </c>
      <c r="B16" s="68">
        <v>0.28999999999999998</v>
      </c>
      <c r="C16" s="19"/>
      <c r="D16" s="21">
        <v>983.25</v>
      </c>
      <c r="E16" s="21"/>
      <c r="F16" s="35">
        <v>42909</v>
      </c>
      <c r="H16" s="21">
        <v>907</v>
      </c>
      <c r="I16" s="19"/>
      <c r="J16" s="68">
        <f t="shared" si="0"/>
        <v>0.92245105517416726</v>
      </c>
      <c r="K16" s="21">
        <f t="shared" si="1"/>
        <v>980.3348588863463</v>
      </c>
      <c r="L16" s="68">
        <v>1.0257497727961224</v>
      </c>
      <c r="M16" s="19"/>
      <c r="N16" s="25"/>
      <c r="O16" s="25"/>
      <c r="P16" s="25"/>
      <c r="Q16" s="2"/>
      <c r="R16" s="26"/>
      <c r="S16" s="2"/>
      <c r="T16" s="27"/>
      <c r="U16" s="2"/>
      <c r="V16" s="28"/>
      <c r="W16" s="2"/>
      <c r="X16" s="26"/>
      <c r="Y16" s="28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">
      <c r="A17" s="29">
        <v>2010</v>
      </c>
      <c r="B17" s="69">
        <v>0.27870916961826064</v>
      </c>
      <c r="C17" s="29"/>
      <c r="D17" s="32">
        <v>1020</v>
      </c>
      <c r="E17" s="29"/>
      <c r="F17" s="37">
        <v>40338</v>
      </c>
      <c r="G17" s="29"/>
      <c r="H17" s="179">
        <v>886.75</v>
      </c>
      <c r="I17" s="29"/>
      <c r="J17" s="69">
        <f t="shared" si="0"/>
        <v>0.86936274509803924</v>
      </c>
      <c r="K17" s="32">
        <f t="shared" si="1"/>
        <v>923.91525735294124</v>
      </c>
      <c r="L17" s="180">
        <v>1.0900000000000001</v>
      </c>
      <c r="M17" s="19"/>
      <c r="N17" s="25"/>
      <c r="O17" s="25"/>
      <c r="P17" s="25"/>
      <c r="Q17" s="25"/>
      <c r="R17" s="26"/>
      <c r="S17" s="26"/>
      <c r="T17" s="27"/>
      <c r="U17" s="27"/>
      <c r="V17" s="28"/>
      <c r="W17" s="28"/>
      <c r="X17" s="26"/>
      <c r="Y17" s="28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">
      <c r="A18" s="66">
        <v>2026</v>
      </c>
      <c r="B18" s="70">
        <v>0.28399999999999997</v>
      </c>
      <c r="C18" s="66"/>
      <c r="D18" s="51">
        <v>1062.75</v>
      </c>
      <c r="E18" s="66"/>
      <c r="F18" s="182"/>
      <c r="G18" s="66"/>
      <c r="H18" s="183">
        <v>975</v>
      </c>
      <c r="I18" s="66" t="s">
        <v>24</v>
      </c>
      <c r="J18" s="70">
        <f t="shared" si="0"/>
        <v>0.91743119266055051</v>
      </c>
      <c r="K18" s="51">
        <f t="shared" si="1"/>
        <v>975</v>
      </c>
      <c r="L18" s="184">
        <v>1.03</v>
      </c>
      <c r="M18" s="19"/>
      <c r="N18" s="25"/>
      <c r="O18" s="25"/>
      <c r="P18" s="25"/>
      <c r="Q18" s="25"/>
      <c r="R18" s="26"/>
      <c r="S18" s="26"/>
      <c r="T18" s="27"/>
      <c r="U18" s="27"/>
      <c r="V18" s="28"/>
      <c r="W18" s="28"/>
      <c r="X18" s="26"/>
      <c r="Y18" s="28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">
      <c r="A19" s="99">
        <v>2006</v>
      </c>
      <c r="B19" s="69">
        <v>0.27725472943246798</v>
      </c>
      <c r="C19" s="29"/>
      <c r="D19" s="32">
        <v>645.25</v>
      </c>
      <c r="E19" s="32"/>
      <c r="F19" s="37">
        <v>38972</v>
      </c>
      <c r="G19" s="36"/>
      <c r="H19" s="32">
        <v>537.5</v>
      </c>
      <c r="I19" s="29"/>
      <c r="J19" s="69">
        <f t="shared" si="0"/>
        <v>0.83301046106160404</v>
      </c>
      <c r="K19" s="32">
        <f t="shared" si="1"/>
        <v>885.28186749321969</v>
      </c>
      <c r="L19" s="69">
        <v>1.1000000000000001</v>
      </c>
      <c r="M19" s="19"/>
      <c r="N19" s="25"/>
      <c r="O19" s="25"/>
      <c r="P19" s="25"/>
      <c r="Q19" s="2"/>
      <c r="R19" s="26"/>
      <c r="S19" s="2"/>
      <c r="T19" s="27"/>
      <c r="U19" s="2"/>
      <c r="V19" s="28"/>
      <c r="W19" s="2"/>
      <c r="X19" s="26"/>
      <c r="Y19" s="28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2">
      <c r="A20" s="106" t="s">
        <v>79</v>
      </c>
      <c r="B20" s="68">
        <v>0.28000000000000003</v>
      </c>
      <c r="C20" s="19"/>
      <c r="D20" s="21">
        <v>1283.75</v>
      </c>
      <c r="E20" s="21"/>
      <c r="F20" s="35">
        <v>44564</v>
      </c>
      <c r="H20" s="21">
        <v>1274</v>
      </c>
      <c r="I20" s="19"/>
      <c r="J20" s="68">
        <f t="shared" si="0"/>
        <v>0.9924050632911392</v>
      </c>
      <c r="K20" s="21">
        <f t="shared" si="1"/>
        <v>1054.6784810126583</v>
      </c>
      <c r="L20" s="68">
        <v>1.0181</v>
      </c>
      <c r="M20" s="19"/>
      <c r="N20" s="25"/>
      <c r="O20" s="25"/>
      <c r="P20" s="25"/>
      <c r="Q20" s="2"/>
      <c r="R20" s="26"/>
      <c r="S20" s="2"/>
      <c r="T20" s="27"/>
      <c r="U20" s="2"/>
      <c r="V20" s="28"/>
      <c r="W20" s="2"/>
      <c r="X20" s="26"/>
      <c r="Y20" s="28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2">
      <c r="A21" s="29">
        <v>2020</v>
      </c>
      <c r="B21" s="69">
        <v>0.2742</v>
      </c>
      <c r="C21" s="29"/>
      <c r="D21" s="32">
        <v>980.75</v>
      </c>
      <c r="E21" s="29"/>
      <c r="F21" s="37">
        <v>43942</v>
      </c>
      <c r="G21" s="29"/>
      <c r="H21" s="179">
        <v>831</v>
      </c>
      <c r="I21" s="29"/>
      <c r="J21" s="69">
        <f t="shared" si="0"/>
        <v>0.84731073158297221</v>
      </c>
      <c r="K21" s="32">
        <f t="shared" si="1"/>
        <v>900.47947998980374</v>
      </c>
      <c r="L21" s="180">
        <v>1.0189999999999999</v>
      </c>
    </row>
    <row r="22" spans="1:35" x14ac:dyDescent="0.2">
      <c r="A22" s="19">
        <v>2014</v>
      </c>
      <c r="B22" s="68">
        <v>0.25586206896551733</v>
      </c>
      <c r="C22" s="19"/>
      <c r="D22" s="21">
        <v>1129</v>
      </c>
      <c r="E22" s="19"/>
      <c r="F22" s="35">
        <v>41925</v>
      </c>
      <c r="G22" s="19"/>
      <c r="H22" s="185">
        <v>915.75</v>
      </c>
      <c r="I22" s="19"/>
      <c r="J22" s="68">
        <f t="shared" si="0"/>
        <v>0.81111603188662529</v>
      </c>
      <c r="K22" s="21">
        <f t="shared" si="1"/>
        <v>862.01356288751106</v>
      </c>
      <c r="L22" s="181">
        <v>1.1582338038364095</v>
      </c>
      <c r="M22" s="19"/>
      <c r="N22" s="25"/>
      <c r="O22" s="25"/>
      <c r="P22" s="25"/>
      <c r="Q22" s="25"/>
      <c r="R22" s="26"/>
      <c r="S22" s="26"/>
      <c r="T22" s="27"/>
      <c r="U22" s="27"/>
      <c r="V22" s="28"/>
      <c r="W22" s="28"/>
      <c r="X22" s="26"/>
      <c r="Y22" s="28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2">
      <c r="A23" s="99">
        <v>2005</v>
      </c>
      <c r="B23" s="69">
        <v>0.25067285382830617</v>
      </c>
      <c r="C23" s="29"/>
      <c r="D23" s="32">
        <v>558.75</v>
      </c>
      <c r="E23" s="32"/>
      <c r="F23" s="37">
        <v>38387</v>
      </c>
      <c r="G23" s="36"/>
      <c r="H23" s="32">
        <v>520</v>
      </c>
      <c r="I23" s="29"/>
      <c r="J23" s="69">
        <f t="shared" si="0"/>
        <v>0.93064876957494402</v>
      </c>
      <c r="K23" s="32">
        <f t="shared" si="1"/>
        <v>989.04697986577173</v>
      </c>
      <c r="L23" s="69">
        <v>1.07</v>
      </c>
      <c r="M23" s="19"/>
      <c r="N23" s="25"/>
      <c r="O23" s="25"/>
      <c r="P23" s="25"/>
      <c r="Q23" s="25"/>
      <c r="R23" s="26"/>
      <c r="S23" s="26"/>
      <c r="T23" s="27"/>
      <c r="U23" s="34"/>
      <c r="V23" s="28"/>
      <c r="W23" s="28"/>
      <c r="X23" s="26"/>
      <c r="Y23" s="28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2">
      <c r="A24" s="19">
        <v>2009</v>
      </c>
      <c r="B24" s="68">
        <v>0.24905427631578947</v>
      </c>
      <c r="C24" s="19"/>
      <c r="D24" s="21">
        <v>1003.5</v>
      </c>
      <c r="E24" s="19"/>
      <c r="F24" s="35">
        <v>39875</v>
      </c>
      <c r="G24" s="19"/>
      <c r="H24" s="185">
        <v>784</v>
      </c>
      <c r="I24" s="19"/>
      <c r="J24" s="68">
        <f t="shared" si="0"/>
        <v>0.78126557050323864</v>
      </c>
      <c r="K24" s="21">
        <f t="shared" si="1"/>
        <v>830.28998505231687</v>
      </c>
      <c r="L24" s="181">
        <v>1.18</v>
      </c>
      <c r="M24" s="19"/>
      <c r="N24" s="25"/>
      <c r="O24" s="25"/>
      <c r="P24" s="25"/>
      <c r="Q24" s="2"/>
      <c r="R24" s="26"/>
      <c r="S24" s="2"/>
      <c r="T24" s="27"/>
      <c r="U24" s="2"/>
      <c r="V24" s="28"/>
      <c r="W24" s="2"/>
      <c r="X24" s="26"/>
      <c r="Y24" s="28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2">
      <c r="A25" s="99">
        <v>2015</v>
      </c>
      <c r="B25" s="69">
        <v>0.25057471264367825</v>
      </c>
      <c r="C25" s="29"/>
      <c r="D25" s="32">
        <v>993.25</v>
      </c>
      <c r="E25" s="32"/>
      <c r="F25" s="37">
        <v>42258</v>
      </c>
      <c r="G25" s="36"/>
      <c r="H25" s="32">
        <v>853.25</v>
      </c>
      <c r="I25" s="29"/>
      <c r="J25" s="69">
        <f t="shared" si="0"/>
        <v>0.85904857790083056</v>
      </c>
      <c r="K25" s="32">
        <f t="shared" si="1"/>
        <v>912.95387616410767</v>
      </c>
      <c r="L25" s="69">
        <v>1.0304433497536944</v>
      </c>
      <c r="M25" s="19"/>
      <c r="N25" s="25"/>
      <c r="O25" s="25"/>
      <c r="P25" s="25"/>
      <c r="Q25" s="2"/>
      <c r="R25" s="26"/>
      <c r="S25" s="2"/>
      <c r="T25" s="27"/>
      <c r="U25" s="2"/>
      <c r="V25" s="28"/>
      <c r="W25" s="2"/>
      <c r="X25" s="26"/>
      <c r="Y25" s="28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2">
      <c r="A26" s="19">
        <v>2004</v>
      </c>
      <c r="B26" s="68">
        <v>0.23667315175097275</v>
      </c>
      <c r="C26" s="19"/>
      <c r="D26" s="21">
        <v>638.25</v>
      </c>
      <c r="E26" s="19"/>
      <c r="F26" s="35">
        <v>38299</v>
      </c>
      <c r="G26" s="19"/>
      <c r="H26" s="185">
        <v>501</v>
      </c>
      <c r="I26" s="19"/>
      <c r="J26" s="68">
        <f t="shared" si="0"/>
        <v>0.78495887191539371</v>
      </c>
      <c r="K26" s="21">
        <f t="shared" si="1"/>
        <v>834.21504112808464</v>
      </c>
      <c r="L26" s="181">
        <v>1.1299999999999999</v>
      </c>
      <c r="M26" s="19"/>
      <c r="N26" s="25"/>
      <c r="O26" s="25"/>
      <c r="P26" s="25"/>
      <c r="Q26" s="2"/>
      <c r="R26" s="26"/>
      <c r="S26" s="2"/>
      <c r="T26" s="27"/>
      <c r="U26" s="2"/>
      <c r="V26" s="28"/>
      <c r="W26" s="2"/>
      <c r="X26" s="26"/>
      <c r="Y26" s="28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2">
      <c r="A27" s="99">
        <v>2013</v>
      </c>
      <c r="B27" s="69">
        <v>0.22580528411147319</v>
      </c>
      <c r="C27" s="29"/>
      <c r="D27" s="32">
        <v>1294</v>
      </c>
      <c r="E27" s="32"/>
      <c r="F27" s="37">
        <v>41493</v>
      </c>
      <c r="G27" s="36"/>
      <c r="H27" s="32">
        <v>1162.5</v>
      </c>
      <c r="I27" s="29"/>
      <c r="J27" s="69">
        <f t="shared" si="0"/>
        <v>0.89837712519319934</v>
      </c>
      <c r="K27" s="32">
        <f t="shared" si="1"/>
        <v>954.75028979907256</v>
      </c>
      <c r="L27" s="69">
        <v>1.0621712997746056</v>
      </c>
      <c r="M27" s="19"/>
      <c r="N27" s="25"/>
      <c r="O27" s="25"/>
      <c r="P27" s="25"/>
      <c r="Q27" s="2"/>
      <c r="R27" s="26"/>
      <c r="S27" s="2"/>
      <c r="T27" s="27"/>
      <c r="U27" s="2"/>
      <c r="V27" s="28"/>
      <c r="W27" s="2"/>
      <c r="X27" s="26"/>
      <c r="Y27" s="28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2">
      <c r="A28" s="19">
        <v>2002</v>
      </c>
      <c r="B28" s="68">
        <v>0.22447257383966246</v>
      </c>
      <c r="C28" s="19"/>
      <c r="D28" s="21">
        <v>430</v>
      </c>
      <c r="E28" s="19"/>
      <c r="F28" s="35">
        <v>37258</v>
      </c>
      <c r="G28" s="19"/>
      <c r="H28" s="185">
        <v>428.5</v>
      </c>
      <c r="I28" s="19"/>
      <c r="J28" s="68">
        <f t="shared" si="0"/>
        <v>0.99651162790697678</v>
      </c>
      <c r="K28" s="21">
        <f t="shared" si="1"/>
        <v>1059.0427325581395</v>
      </c>
      <c r="L28" s="181">
        <v>1.08</v>
      </c>
      <c r="M28" s="5"/>
      <c r="N28" s="43"/>
      <c r="O28" s="43"/>
      <c r="P28" s="43"/>
      <c r="Q28" s="41"/>
      <c r="R28" s="44"/>
      <c r="S28" s="41"/>
      <c r="T28" s="186"/>
      <c r="U28" s="41"/>
      <c r="V28" s="46"/>
      <c r="W28" s="41"/>
      <c r="X28" s="44"/>
      <c r="Y28" s="46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2">
      <c r="A29" s="99">
        <v>2012</v>
      </c>
      <c r="B29" s="69">
        <v>0.21014274981217151</v>
      </c>
      <c r="C29" s="29"/>
      <c r="D29" s="32">
        <v>1219</v>
      </c>
      <c r="E29" s="32"/>
      <c r="F29" s="37">
        <v>40920</v>
      </c>
      <c r="G29" s="36"/>
      <c r="H29" s="32">
        <v>1163.5</v>
      </c>
      <c r="I29" s="29"/>
      <c r="J29" s="69">
        <f t="shared" si="0"/>
        <v>0.9544708777686628</v>
      </c>
      <c r="K29" s="32">
        <f t="shared" si="1"/>
        <v>1014.3639253486464</v>
      </c>
      <c r="L29" s="69">
        <v>1.0458511881573822</v>
      </c>
      <c r="M29" s="106"/>
      <c r="N29" s="25"/>
      <c r="O29" s="2"/>
      <c r="P29" s="25"/>
      <c r="Q29" s="2"/>
      <c r="R29" s="26"/>
      <c r="S29" s="2"/>
      <c r="T29" s="28"/>
      <c r="U29" s="27"/>
      <c r="W29" s="28"/>
      <c r="X29" s="28"/>
      <c r="Y29" s="25"/>
      <c r="Z29" s="28"/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2">
      <c r="A30" s="19">
        <v>1994</v>
      </c>
      <c r="B30" s="68">
        <v>0.2005417956656351</v>
      </c>
      <c r="C30" s="19"/>
      <c r="D30" s="21">
        <v>651.75</v>
      </c>
      <c r="E30" s="19"/>
      <c r="F30" s="35">
        <v>34617</v>
      </c>
      <c r="G30" s="19"/>
      <c r="H30" s="185">
        <v>526.75</v>
      </c>
      <c r="I30" s="19"/>
      <c r="J30" s="68">
        <f t="shared" si="0"/>
        <v>0.80820866896816268</v>
      </c>
      <c r="K30" s="21">
        <f t="shared" si="1"/>
        <v>858.92376294591486</v>
      </c>
      <c r="L30" s="181">
        <v>1.1399999999999999</v>
      </c>
      <c r="M30" s="106"/>
      <c r="N30" s="25"/>
      <c r="O30" s="2"/>
      <c r="P30" s="25"/>
      <c r="Q30" s="85"/>
      <c r="R30" s="26"/>
      <c r="S30" s="2"/>
      <c r="U30" s="27"/>
      <c r="W30" s="28"/>
      <c r="X30" s="28"/>
      <c r="Y30" s="25"/>
      <c r="Z30" s="28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2">
      <c r="A31" s="99">
        <v>1990</v>
      </c>
      <c r="B31" s="69">
        <v>0.19779270633397339</v>
      </c>
      <c r="C31" s="29"/>
      <c r="D31" s="32">
        <v>613.5</v>
      </c>
      <c r="E31" s="32"/>
      <c r="F31" s="37">
        <v>33191</v>
      </c>
      <c r="G31" s="36"/>
      <c r="H31" s="32">
        <v>552</v>
      </c>
      <c r="I31" s="29"/>
      <c r="J31" s="69">
        <f t="shared" si="0"/>
        <v>0.89975550122249393</v>
      </c>
      <c r="K31" s="32">
        <f t="shared" si="1"/>
        <v>956.21515892420541</v>
      </c>
      <c r="L31" s="69">
        <v>1</v>
      </c>
      <c r="M31" s="19"/>
      <c r="N31" s="25"/>
      <c r="O31" s="25"/>
      <c r="P31" s="25"/>
      <c r="Q31" s="2"/>
      <c r="R31" s="26"/>
      <c r="S31" s="2"/>
      <c r="T31" s="27"/>
      <c r="U31" s="2"/>
      <c r="V31" s="28"/>
      <c r="W31" s="2"/>
      <c r="X31" s="26"/>
      <c r="Y31" s="28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">
      <c r="A32" s="19">
        <v>2001</v>
      </c>
      <c r="B32" s="68">
        <v>0.19261487964989063</v>
      </c>
      <c r="C32" s="19"/>
      <c r="D32" s="21">
        <v>513.25</v>
      </c>
      <c r="E32" s="19"/>
      <c r="F32" s="35">
        <v>37005</v>
      </c>
      <c r="G32" s="19"/>
      <c r="H32" s="185">
        <v>417.5</v>
      </c>
      <c r="I32" s="19"/>
      <c r="J32" s="68">
        <f t="shared" si="0"/>
        <v>0.81344374086702387</v>
      </c>
      <c r="K32" s="21">
        <f t="shared" si="1"/>
        <v>864.48733560642961</v>
      </c>
      <c r="L32" s="181">
        <v>1.07</v>
      </c>
      <c r="M32" s="19"/>
      <c r="N32" s="25"/>
      <c r="O32" s="25"/>
      <c r="P32" s="25"/>
      <c r="Q32" s="2"/>
      <c r="R32" s="26"/>
      <c r="S32" s="2"/>
      <c r="T32" s="27"/>
      <c r="U32" s="2"/>
      <c r="V32" s="28"/>
      <c r="W32" s="2"/>
      <c r="X32" s="26"/>
      <c r="Y32" s="28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9" x14ac:dyDescent="0.2">
      <c r="A33" s="99">
        <v>2000</v>
      </c>
      <c r="B33" s="69">
        <v>0.19127167630057823</v>
      </c>
      <c r="C33" s="29"/>
      <c r="D33" s="32">
        <v>492.5</v>
      </c>
      <c r="E33" s="32"/>
      <c r="F33" s="37">
        <v>36745</v>
      </c>
      <c r="G33" s="36"/>
      <c r="H33" s="32">
        <v>446</v>
      </c>
      <c r="I33" s="29"/>
      <c r="J33" s="69">
        <f t="shared" si="0"/>
        <v>0.90558375634517763</v>
      </c>
      <c r="K33" s="32">
        <f t="shared" si="1"/>
        <v>962.4091370558375</v>
      </c>
      <c r="L33" s="69">
        <v>1.1000000000000001</v>
      </c>
      <c r="M33" s="19"/>
      <c r="N33" s="25"/>
      <c r="O33" s="25"/>
      <c r="P33" s="25"/>
      <c r="Q33" s="2"/>
      <c r="R33" s="26"/>
      <c r="S33" s="2"/>
      <c r="T33" s="27"/>
      <c r="U33" s="2"/>
      <c r="V33" s="28"/>
      <c r="W33" s="2"/>
      <c r="X33" s="26"/>
      <c r="Y33" s="28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9" x14ac:dyDescent="0.2">
      <c r="A34" s="19">
        <v>1999</v>
      </c>
      <c r="B34" s="68">
        <v>0.18971141781681328</v>
      </c>
      <c r="C34" s="19"/>
      <c r="D34" s="21">
        <v>562</v>
      </c>
      <c r="E34" s="19"/>
      <c r="F34" s="35">
        <v>36350</v>
      </c>
      <c r="G34" s="19"/>
      <c r="H34" s="185">
        <v>405.25</v>
      </c>
      <c r="I34" s="19"/>
      <c r="J34" s="68">
        <f t="shared" si="0"/>
        <v>0.72108540925266906</v>
      </c>
      <c r="K34" s="21">
        <f t="shared" si="1"/>
        <v>766.33351868327406</v>
      </c>
      <c r="L34" s="181">
        <v>1.01</v>
      </c>
      <c r="M34" s="66"/>
      <c r="N34" s="43"/>
      <c r="O34" s="43"/>
      <c r="P34" s="43"/>
      <c r="Q34" s="43"/>
      <c r="R34" s="44"/>
      <c r="S34" s="44"/>
      <c r="T34" s="45"/>
      <c r="U34" s="45"/>
      <c r="V34" s="46"/>
      <c r="W34" s="46"/>
      <c r="X34" s="44"/>
      <c r="Y34" s="46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9" x14ac:dyDescent="0.2">
      <c r="A35" s="99">
        <v>1997</v>
      </c>
      <c r="B35" s="69">
        <v>0.18838004101162015</v>
      </c>
      <c r="C35" s="29"/>
      <c r="D35" s="32">
        <v>665.75</v>
      </c>
      <c r="E35" s="32"/>
      <c r="F35" s="37">
        <v>35618</v>
      </c>
      <c r="G35" s="36"/>
      <c r="H35" s="32">
        <v>577</v>
      </c>
      <c r="I35" s="29"/>
      <c r="J35" s="69">
        <f t="shared" si="0"/>
        <v>0.8666917010889974</v>
      </c>
      <c r="K35" s="32">
        <f t="shared" si="1"/>
        <v>921.07660533233195</v>
      </c>
      <c r="L35" s="69">
        <v>1.17</v>
      </c>
      <c r="M35" s="187"/>
      <c r="N35" s="25"/>
      <c r="O35" s="25"/>
      <c r="P35" s="25"/>
      <c r="Q35" s="25"/>
      <c r="R35" s="26"/>
      <c r="S35" s="26"/>
      <c r="T35" s="27"/>
      <c r="U35" s="27"/>
      <c r="V35" s="28"/>
      <c r="W35" s="28"/>
      <c r="X35" s="26"/>
      <c r="Y35" s="28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9" x14ac:dyDescent="0.2">
      <c r="A36" s="19">
        <v>1998</v>
      </c>
      <c r="B36" s="68">
        <v>0.18526249209361195</v>
      </c>
      <c r="C36" s="19"/>
      <c r="D36" s="21">
        <v>658.25</v>
      </c>
      <c r="E36" s="19"/>
      <c r="F36" s="35">
        <v>36039</v>
      </c>
      <c r="G36" s="19"/>
      <c r="H36" s="185">
        <v>508.5</v>
      </c>
      <c r="I36" s="19"/>
      <c r="J36" s="68">
        <f t="shared" si="0"/>
        <v>0.77250284846183059</v>
      </c>
      <c r="K36" s="21">
        <f t="shared" si="1"/>
        <v>820.97740220281048</v>
      </c>
      <c r="L36" s="181">
        <v>1.0900000000000001</v>
      </c>
      <c r="M36" s="19"/>
      <c r="N36" s="25"/>
      <c r="O36" s="25"/>
      <c r="P36" s="25"/>
      <c r="Q36" s="2"/>
      <c r="R36" s="26"/>
      <c r="S36" s="2"/>
      <c r="T36" s="27"/>
      <c r="U36" s="2"/>
      <c r="V36" s="28"/>
      <c r="W36" s="28"/>
      <c r="X36" s="26"/>
      <c r="Y36" s="28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9" x14ac:dyDescent="0.2">
      <c r="A37" s="99">
        <v>1992</v>
      </c>
      <c r="B37" s="69">
        <v>0.17497835497835529</v>
      </c>
      <c r="C37" s="29"/>
      <c r="D37" s="32">
        <v>574.5</v>
      </c>
      <c r="E37" s="32"/>
      <c r="F37" s="37">
        <v>33882</v>
      </c>
      <c r="G37" s="36"/>
      <c r="H37" s="32">
        <v>524.5</v>
      </c>
      <c r="I37" s="29"/>
      <c r="J37" s="69">
        <f t="shared" si="0"/>
        <v>0.9129677980852916</v>
      </c>
      <c r="K37" s="32">
        <f t="shared" si="1"/>
        <v>970.25652741514364</v>
      </c>
      <c r="L37" s="69">
        <v>1.07</v>
      </c>
      <c r="M37" s="19"/>
      <c r="N37" s="25"/>
      <c r="O37" s="25"/>
      <c r="P37" s="25"/>
      <c r="Q37" s="25"/>
      <c r="R37" s="26"/>
      <c r="S37" s="26"/>
      <c r="T37" s="27"/>
      <c r="U37" s="27"/>
      <c r="V37" s="28"/>
      <c r="W37" s="28"/>
      <c r="X37" s="26"/>
      <c r="Y37" s="28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9" x14ac:dyDescent="0.2">
      <c r="A38" s="19">
        <v>1991</v>
      </c>
      <c r="B38" s="68">
        <v>0.16797445255474502</v>
      </c>
      <c r="C38" s="19"/>
      <c r="D38" s="21">
        <v>602.75</v>
      </c>
      <c r="E38" s="19"/>
      <c r="F38" s="35">
        <v>33427</v>
      </c>
      <c r="G38" s="19"/>
      <c r="H38" s="185">
        <v>517.5</v>
      </c>
      <c r="I38" s="19"/>
      <c r="J38" s="68">
        <f t="shared" si="0"/>
        <v>0.85856491082538366</v>
      </c>
      <c r="K38" s="21">
        <f t="shared" si="1"/>
        <v>912.4398589796765</v>
      </c>
      <c r="L38" s="181">
        <v>1.03</v>
      </c>
      <c r="N38" s="2"/>
      <c r="O38" s="2"/>
      <c r="Q38" s="1"/>
      <c r="R38" s="25"/>
      <c r="S38" s="25"/>
      <c r="T38" s="25"/>
      <c r="U38" s="1"/>
      <c r="V38" s="26"/>
      <c r="W38" s="2"/>
      <c r="X38" s="27"/>
      <c r="Y38" s="34"/>
      <c r="Z38" s="28"/>
      <c r="AA38" s="28"/>
      <c r="AB38" s="26"/>
      <c r="AC38" s="28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2">
      <c r="A39" s="99">
        <v>1993</v>
      </c>
      <c r="B39" s="69">
        <v>0.14436152570480973</v>
      </c>
      <c r="C39" s="29"/>
      <c r="D39" s="32">
        <v>587.75</v>
      </c>
      <c r="E39" s="32"/>
      <c r="F39" s="37">
        <v>34136</v>
      </c>
      <c r="G39" s="36"/>
      <c r="H39" s="32">
        <v>576</v>
      </c>
      <c r="I39" s="29"/>
      <c r="J39" s="69">
        <f t="shared" si="0"/>
        <v>0.98000850701829012</v>
      </c>
      <c r="K39" s="32">
        <f t="shared" si="1"/>
        <v>1041.5040408336879</v>
      </c>
      <c r="L39" s="69">
        <v>1.02</v>
      </c>
      <c r="Q39" s="1"/>
      <c r="R39" s="25"/>
      <c r="S39" s="25"/>
      <c r="T39" s="25"/>
      <c r="U39" s="25"/>
      <c r="V39" s="26"/>
      <c r="W39" s="26"/>
      <c r="X39" s="27"/>
      <c r="Y39" s="34"/>
      <c r="Z39" s="28"/>
      <c r="AA39" s="28"/>
      <c r="AB39" s="26"/>
      <c r="AC39" s="28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19">
        <v>1996</v>
      </c>
      <c r="B40" s="68">
        <v>0.11785185185185225</v>
      </c>
      <c r="C40" s="19"/>
      <c r="D40" s="21">
        <v>705.75</v>
      </c>
      <c r="E40" s="19"/>
      <c r="F40" s="35">
        <v>35370</v>
      </c>
      <c r="G40" s="19"/>
      <c r="H40" s="185">
        <v>659.75</v>
      </c>
      <c r="I40" s="19"/>
      <c r="J40" s="68">
        <f t="shared" si="0"/>
        <v>0.93482111229188802</v>
      </c>
      <c r="K40" s="21">
        <f t="shared" si="1"/>
        <v>993.48113708820404</v>
      </c>
      <c r="L40" s="181">
        <v>1</v>
      </c>
      <c r="Q40" s="2"/>
      <c r="R40" s="2"/>
      <c r="S40" s="2"/>
      <c r="T40" s="2"/>
      <c r="U40" s="2"/>
      <c r="V40" s="2"/>
      <c r="W40" s="2"/>
      <c r="X40" s="9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106"/>
      <c r="K41" s="65"/>
      <c r="Q41" s="2"/>
      <c r="R41" s="2"/>
      <c r="S41" s="2"/>
      <c r="T41" s="2"/>
      <c r="U41" s="2"/>
      <c r="V41" s="2"/>
      <c r="W41" s="2"/>
      <c r="X41" s="9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66" t="s">
        <v>22</v>
      </c>
      <c r="B42" s="70">
        <f>MEDIAN(B11:B40)</f>
        <v>0.24286371403338111</v>
      </c>
      <c r="G42" s="65"/>
      <c r="J42" s="70">
        <f>MEDIAN(J11:J40)</f>
        <v>0.86802722309351832</v>
      </c>
      <c r="K42" s="51">
        <f>MEDIAN(K11:K40)</f>
        <v>922.4959313426366</v>
      </c>
      <c r="Q42" s="41"/>
      <c r="R42" s="43"/>
      <c r="S42" s="43"/>
      <c r="T42" s="43"/>
      <c r="U42" s="41"/>
      <c r="V42" s="44"/>
      <c r="W42" s="41"/>
      <c r="X42" s="186"/>
      <c r="Y42" s="41"/>
      <c r="Z42" s="46"/>
      <c r="AA42" s="41"/>
      <c r="AB42" s="44"/>
      <c r="AC42" s="46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K43" s="65"/>
      <c r="L43" s="2"/>
      <c r="Q43" s="2"/>
      <c r="R43" s="2"/>
      <c r="S43" s="2"/>
      <c r="T43" s="2"/>
      <c r="U43" s="2"/>
      <c r="V43" s="2"/>
      <c r="W43" s="2"/>
      <c r="X43" s="9"/>
      <c r="Y43" s="2"/>
      <c r="Z43" s="2"/>
      <c r="AA43" s="2"/>
      <c r="AB43" s="2"/>
      <c r="AC43" s="2"/>
    </row>
    <row r="44" spans="1:39" x14ac:dyDescent="0.2">
      <c r="E44" s="2" t="s">
        <v>80</v>
      </c>
      <c r="K44" s="65"/>
      <c r="L44" s="2"/>
      <c r="M44" s="188"/>
      <c r="N44" s="188"/>
      <c r="O44" s="188"/>
      <c r="P44" s="189"/>
      <c r="Q44" s="41"/>
      <c r="R44" s="2"/>
      <c r="S44" s="2"/>
      <c r="T44" s="2"/>
      <c r="U44" s="2"/>
      <c r="V44" s="2"/>
      <c r="W44" s="2"/>
      <c r="X44" s="9"/>
      <c r="Y44" s="2"/>
      <c r="Z44" s="2"/>
      <c r="AA44" s="2"/>
      <c r="AB44" s="2"/>
      <c r="AC44" s="2"/>
    </row>
    <row r="45" spans="1:39" x14ac:dyDescent="0.2">
      <c r="K45" s="65"/>
      <c r="L45" s="41"/>
      <c r="M45" s="189"/>
      <c r="Q45" s="2"/>
      <c r="R45" s="2"/>
      <c r="S45" s="2"/>
      <c r="T45" s="2"/>
      <c r="U45" s="2"/>
      <c r="V45" s="2"/>
      <c r="W45" s="2"/>
      <c r="X45" s="65"/>
      <c r="Y45" s="2"/>
      <c r="Z45" s="2"/>
      <c r="AA45" s="2"/>
      <c r="AB45" s="2"/>
      <c r="AC45" s="2"/>
    </row>
    <row r="46" spans="1:39" x14ac:dyDescent="0.2">
      <c r="A46" s="19">
        <v>2019</v>
      </c>
      <c r="B46" s="68">
        <v>0.27</v>
      </c>
      <c r="C46" s="19"/>
      <c r="D46" s="21">
        <v>931.25</v>
      </c>
      <c r="E46" s="19"/>
      <c r="F46" s="35">
        <v>43598</v>
      </c>
      <c r="G46" s="19"/>
      <c r="H46" s="185">
        <v>815.5</v>
      </c>
      <c r="I46" s="19"/>
      <c r="J46" s="68">
        <f t="shared" ref="J46:J52" si="2">H46/D46</f>
        <v>0.87570469798657713</v>
      </c>
      <c r="K46" s="21">
        <f>J46*$D$18</f>
        <v>930.65516778523488</v>
      </c>
      <c r="L46" s="181">
        <v>0.97</v>
      </c>
      <c r="M46" s="19"/>
      <c r="N46" s="25"/>
      <c r="O46" s="25"/>
      <c r="P46" s="25"/>
      <c r="Q46" s="2"/>
      <c r="R46" s="26"/>
      <c r="S46" s="2"/>
      <c r="T46" s="27"/>
      <c r="U46" s="2"/>
      <c r="V46" s="28"/>
      <c r="W46" s="2"/>
      <c r="X46" s="26"/>
      <c r="Y46" s="28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9" x14ac:dyDescent="0.2">
      <c r="A47" s="99" t="s">
        <v>81</v>
      </c>
      <c r="B47" s="69">
        <v>0.27</v>
      </c>
      <c r="C47" s="36"/>
      <c r="D47" s="32">
        <v>1120.75</v>
      </c>
      <c r="E47" s="32"/>
      <c r="F47" s="37">
        <v>44221</v>
      </c>
      <c r="G47" s="36"/>
      <c r="H47" s="32">
        <v>1097</v>
      </c>
      <c r="I47" s="29"/>
      <c r="J47" s="69">
        <f t="shared" si="2"/>
        <v>0.97880883337051083</v>
      </c>
      <c r="K47" s="32">
        <f t="shared" ref="K47:K52" si="3">J47*$D$18</f>
        <v>1040.2290876645104</v>
      </c>
      <c r="L47" s="69">
        <v>0.98</v>
      </c>
      <c r="X47" s="26"/>
      <c r="Y47" s="28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9" x14ac:dyDescent="0.2">
      <c r="A48" s="19">
        <v>2007</v>
      </c>
      <c r="B48" s="68">
        <v>0.22942458587619863</v>
      </c>
      <c r="C48" s="19"/>
      <c r="D48" s="21">
        <v>726.25</v>
      </c>
      <c r="E48" s="19"/>
      <c r="F48" s="35">
        <v>39092</v>
      </c>
      <c r="G48" s="19"/>
      <c r="H48" s="185">
        <v>708</v>
      </c>
      <c r="I48" s="19"/>
      <c r="J48" s="68">
        <f t="shared" si="2"/>
        <v>0.97487091222030986</v>
      </c>
      <c r="K48" s="21">
        <f t="shared" si="3"/>
        <v>1036.0440619621343</v>
      </c>
      <c r="L48" s="181">
        <v>0.96</v>
      </c>
      <c r="Q48" s="2"/>
      <c r="R48" s="2"/>
      <c r="S48" s="2"/>
      <c r="T48" s="2"/>
      <c r="U48" s="2"/>
      <c r="V48" s="2"/>
      <c r="W48" s="2"/>
      <c r="X48" s="65"/>
      <c r="Y48" s="2"/>
      <c r="Z48" s="2"/>
      <c r="AA48" s="2"/>
      <c r="AB48" s="2"/>
      <c r="AC48" s="2"/>
    </row>
    <row r="49" spans="1:35" x14ac:dyDescent="0.2">
      <c r="A49" s="99">
        <v>2011</v>
      </c>
      <c r="B49" s="69">
        <v>0.2101477449455677</v>
      </c>
      <c r="C49" s="36"/>
      <c r="D49" s="32">
        <v>1294.25</v>
      </c>
      <c r="E49" s="32"/>
      <c r="F49" s="37">
        <v>40820</v>
      </c>
      <c r="G49" s="36"/>
      <c r="H49" s="32">
        <v>1152</v>
      </c>
      <c r="I49" s="29"/>
      <c r="J49" s="69">
        <f t="shared" si="2"/>
        <v>0.89009078616959625</v>
      </c>
      <c r="K49" s="32">
        <f t="shared" si="3"/>
        <v>945.94398300173839</v>
      </c>
      <c r="L49" s="69">
        <v>0.95</v>
      </c>
      <c r="Q49" s="2"/>
      <c r="R49" s="2"/>
      <c r="S49" s="2"/>
      <c r="T49" s="2"/>
      <c r="U49" s="2"/>
      <c r="V49" s="2"/>
      <c r="W49" s="2"/>
      <c r="X49" s="65"/>
      <c r="Y49" s="2"/>
      <c r="Z49" s="2"/>
      <c r="AA49" s="2"/>
      <c r="AB49" s="2"/>
      <c r="AC49" s="2"/>
    </row>
    <row r="50" spans="1:35" x14ac:dyDescent="0.2">
      <c r="A50" s="19">
        <v>2003</v>
      </c>
      <c r="B50" s="68">
        <v>0.20078534031413608</v>
      </c>
      <c r="C50" s="19"/>
      <c r="D50" s="21">
        <v>522</v>
      </c>
      <c r="E50" s="19"/>
      <c r="F50" s="35">
        <v>37635</v>
      </c>
      <c r="G50" s="19"/>
      <c r="H50" s="185">
        <v>502.5</v>
      </c>
      <c r="I50" s="19"/>
      <c r="J50" s="68">
        <f t="shared" si="2"/>
        <v>0.96264367816091956</v>
      </c>
      <c r="K50" s="21">
        <f t="shared" si="3"/>
        <v>1023.0495689655172</v>
      </c>
      <c r="L50" s="181">
        <v>0.99</v>
      </c>
      <c r="Q50" s="2"/>
      <c r="R50" s="2"/>
      <c r="S50" s="2"/>
      <c r="T50" s="2"/>
      <c r="U50" s="2"/>
      <c r="V50" s="2"/>
      <c r="W50" s="2"/>
      <c r="X50" s="65"/>
      <c r="Y50" s="2"/>
      <c r="Z50" s="2"/>
      <c r="AA50" s="2"/>
      <c r="AB50" s="2"/>
      <c r="AC50" s="2"/>
    </row>
    <row r="51" spans="1:35" x14ac:dyDescent="0.2">
      <c r="A51" s="99">
        <v>2008</v>
      </c>
      <c r="B51" s="69">
        <v>0.19507900677200893</v>
      </c>
      <c r="C51" s="36"/>
      <c r="D51" s="32">
        <v>1148</v>
      </c>
      <c r="E51" s="32"/>
      <c r="F51" s="37">
        <v>39737</v>
      </c>
      <c r="G51" s="36"/>
      <c r="H51" s="32">
        <v>825</v>
      </c>
      <c r="I51" s="29"/>
      <c r="J51" s="69">
        <f t="shared" si="2"/>
        <v>0.71864111498257843</v>
      </c>
      <c r="K51" s="32">
        <f t="shared" si="3"/>
        <v>763.73584494773525</v>
      </c>
      <c r="L51" s="69">
        <v>0.92</v>
      </c>
      <c r="Q51" s="2"/>
      <c r="R51" s="2"/>
      <c r="S51" s="2"/>
      <c r="T51" s="2"/>
      <c r="U51" s="2"/>
      <c r="V51" s="2"/>
      <c r="W51" s="2"/>
      <c r="X51" s="65"/>
      <c r="Y51" s="2"/>
      <c r="Z51" s="2"/>
      <c r="AA51" s="2"/>
      <c r="AB51" s="2"/>
      <c r="AC51" s="2"/>
    </row>
    <row r="52" spans="1:35" x14ac:dyDescent="0.2">
      <c r="A52" s="19">
        <v>1995</v>
      </c>
      <c r="B52" s="68">
        <v>0.14400729150843131</v>
      </c>
      <c r="C52" s="19"/>
      <c r="D52" s="21">
        <v>587</v>
      </c>
      <c r="E52" s="19"/>
      <c r="F52" s="35">
        <v>34731</v>
      </c>
      <c r="G52" s="19"/>
      <c r="H52" s="185">
        <v>573.25</v>
      </c>
      <c r="I52" s="19"/>
      <c r="J52" s="68">
        <f t="shared" si="2"/>
        <v>0.97657580919931852</v>
      </c>
      <c r="K52" s="21">
        <f t="shared" si="3"/>
        <v>1037.8559412265759</v>
      </c>
      <c r="L52" s="181">
        <v>0.97</v>
      </c>
      <c r="M52" s="2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35" x14ac:dyDescent="0.2">
      <c r="M53" s="2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35" x14ac:dyDescent="0.2">
      <c r="A54" s="66" t="s">
        <v>22</v>
      </c>
      <c r="B54" s="70">
        <f>MEDIAN(B46:B52)</f>
        <v>0.2101477449455677</v>
      </c>
      <c r="G54" s="65"/>
      <c r="J54" s="68">
        <f>MEDIAN(J46:J52)</f>
        <v>0.96264367816091956</v>
      </c>
      <c r="K54" s="51">
        <f>MEDIAN(K46:K52)</f>
        <v>1023.0495689655172</v>
      </c>
      <c r="M54" s="2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35" x14ac:dyDescent="0.2">
      <c r="G55" s="40"/>
      <c r="I55" s="21"/>
      <c r="J55" s="21"/>
      <c r="L55" s="21"/>
      <c r="M55" s="2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35" x14ac:dyDescent="0.2">
      <c r="G56" s="40"/>
      <c r="I56" s="21"/>
      <c r="J56" s="21"/>
      <c r="L56" s="21"/>
      <c r="M56" s="2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35" x14ac:dyDescent="0.2">
      <c r="G57" s="40"/>
      <c r="I57" s="21"/>
      <c r="J57" s="21"/>
      <c r="L57" s="21"/>
      <c r="N57" s="21"/>
      <c r="O57" s="2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35" x14ac:dyDescent="0.2">
      <c r="G58" s="40"/>
      <c r="I58" s="21"/>
      <c r="J58" s="21"/>
      <c r="L58" s="21"/>
      <c r="N58" s="21"/>
      <c r="O58" s="2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35" x14ac:dyDescent="0.2">
      <c r="G59" s="40"/>
      <c r="I59" s="21"/>
      <c r="J59" s="21"/>
      <c r="L59" s="21"/>
      <c r="N59" s="21"/>
      <c r="O59" s="2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35" x14ac:dyDescent="0.2">
      <c r="G60" s="40"/>
      <c r="I60" s="21"/>
      <c r="J60" s="21"/>
      <c r="L60" s="21"/>
      <c r="N60" s="21"/>
      <c r="O60" s="2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35" x14ac:dyDescent="0.2">
      <c r="G61" s="40"/>
      <c r="I61" s="21"/>
      <c r="J61" s="21"/>
      <c r="L61" s="21"/>
      <c r="N61" s="21"/>
      <c r="O61" s="2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35" x14ac:dyDescent="0.2">
      <c r="G62" s="40"/>
      <c r="I62" s="21"/>
      <c r="J62" s="21"/>
      <c r="K62" s="21"/>
      <c r="L62" s="21"/>
      <c r="N62" s="21"/>
      <c r="O62" s="21"/>
      <c r="P62" s="40"/>
      <c r="Q62" s="21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2">
      <c r="G63" s="40"/>
      <c r="I63" s="21"/>
      <c r="J63" s="21"/>
      <c r="K63" s="21"/>
      <c r="L63" s="21"/>
      <c r="N63" s="21"/>
      <c r="O63" s="21"/>
      <c r="P63" s="40"/>
      <c r="Q63" s="21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2">
      <c r="G64" s="40"/>
      <c r="I64" s="21"/>
      <c r="J64" s="21"/>
      <c r="K64" s="21"/>
      <c r="L64" s="21"/>
      <c r="N64" s="21"/>
      <c r="O64" s="21"/>
      <c r="P64" s="40"/>
      <c r="Q64" s="21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7:35" x14ac:dyDescent="0.2">
      <c r="G65" s="40"/>
      <c r="I65" s="21"/>
      <c r="J65" s="21"/>
      <c r="K65" s="21"/>
      <c r="L65" s="21"/>
      <c r="N65" s="21"/>
      <c r="O65" s="21"/>
      <c r="P65" s="40"/>
      <c r="Q65" s="21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7:35" x14ac:dyDescent="0.2">
      <c r="G66" s="40"/>
      <c r="I66" s="21"/>
      <c r="J66" s="21"/>
      <c r="K66" s="21"/>
      <c r="L66" s="21"/>
      <c r="N66" s="21"/>
      <c r="O66" s="21"/>
      <c r="P66" s="40"/>
      <c r="Q66" s="21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7:35" x14ac:dyDescent="0.2">
      <c r="G67" s="40"/>
      <c r="I67" s="21"/>
      <c r="J67" s="21"/>
      <c r="K67" s="21"/>
      <c r="L67" s="21"/>
      <c r="N67" s="21"/>
      <c r="O67" s="21"/>
      <c r="P67" s="40"/>
      <c r="Q67" s="21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7:35" x14ac:dyDescent="0.2">
      <c r="G68" s="40"/>
      <c r="I68" s="21"/>
      <c r="J68" s="21"/>
      <c r="K68" s="21"/>
      <c r="L68" s="21"/>
      <c r="N68" s="21"/>
      <c r="O68" s="21"/>
      <c r="P68" s="40"/>
      <c r="Q68" s="21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7:35" x14ac:dyDescent="0.2">
      <c r="G69" s="40"/>
      <c r="I69" s="21"/>
      <c r="J69" s="21"/>
      <c r="K69" s="21"/>
      <c r="L69" s="21"/>
      <c r="N69" s="21"/>
      <c r="O69" s="21"/>
      <c r="P69" s="40"/>
      <c r="Q69" s="21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7:35" x14ac:dyDescent="0.2">
      <c r="G70" s="40"/>
      <c r="I70" s="21"/>
      <c r="J70" s="21"/>
      <c r="K70" s="21"/>
      <c r="L70" s="21"/>
      <c r="N70" s="21"/>
      <c r="O70" s="21"/>
      <c r="P70" s="40"/>
      <c r="Q70" s="21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7:35" x14ac:dyDescent="0.2">
      <c r="G71" s="40"/>
      <c r="I71" s="21"/>
      <c r="J71" s="21"/>
      <c r="K71" s="21"/>
      <c r="L71" s="21"/>
      <c r="N71" s="21"/>
      <c r="O71" s="21"/>
      <c r="P71" s="40"/>
      <c r="Q71" s="21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7:35" x14ac:dyDescent="0.2">
      <c r="G72" s="40"/>
      <c r="I72" s="21"/>
      <c r="J72" s="21"/>
      <c r="K72" s="21"/>
      <c r="L72" s="21"/>
      <c r="N72" s="21"/>
      <c r="O72" s="21"/>
      <c r="P72" s="40"/>
      <c r="Q72" s="21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7:35" x14ac:dyDescent="0.2">
      <c r="G73" s="40"/>
      <c r="I73" s="21"/>
      <c r="J73" s="21"/>
      <c r="K73" s="21"/>
      <c r="L73" s="21"/>
      <c r="N73" s="21"/>
      <c r="O73" s="21"/>
      <c r="P73" s="40"/>
      <c r="Q73" s="21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7:35" x14ac:dyDescent="0.2">
      <c r="G74" s="40"/>
      <c r="I74" s="21"/>
      <c r="J74" s="21"/>
      <c r="K74" s="21"/>
      <c r="L74" s="21"/>
      <c r="N74" s="21"/>
      <c r="O74" s="21"/>
      <c r="P74" s="40"/>
      <c r="Q74" s="21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7:35" x14ac:dyDescent="0.2">
      <c r="G75" s="40"/>
      <c r="I75" s="21"/>
      <c r="J75" s="21"/>
      <c r="K75" s="21"/>
      <c r="L75" s="21"/>
      <c r="N75" s="21"/>
      <c r="O75" s="21"/>
      <c r="P75" s="40"/>
      <c r="Q75" s="21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7:35" x14ac:dyDescent="0.2">
      <c r="G76" s="40"/>
      <c r="I76" s="21"/>
      <c r="J76" s="21"/>
      <c r="K76" s="21"/>
      <c r="L76" s="21"/>
      <c r="N76" s="21"/>
      <c r="O76" s="21"/>
      <c r="P76" s="40"/>
      <c r="Q76" s="21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7:35" x14ac:dyDescent="0.2">
      <c r="G77" s="40"/>
      <c r="I77" s="21"/>
      <c r="J77" s="21"/>
      <c r="K77" s="21"/>
      <c r="L77" s="21"/>
      <c r="N77" s="21"/>
      <c r="O77" s="21"/>
      <c r="P77" s="40"/>
      <c r="Q77" s="21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7:35" x14ac:dyDescent="0.2">
      <c r="G78" s="40"/>
      <c r="I78" s="21"/>
      <c r="J78" s="21"/>
      <c r="K78" s="21"/>
      <c r="L78" s="21"/>
      <c r="N78" s="21"/>
      <c r="O78" s="21"/>
      <c r="P78" s="40"/>
      <c r="Q78" s="21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7:35" x14ac:dyDescent="0.2">
      <c r="G79" s="40"/>
      <c r="I79" s="21"/>
      <c r="J79" s="21"/>
      <c r="K79" s="21"/>
      <c r="L79" s="21"/>
      <c r="N79" s="21"/>
      <c r="O79" s="21"/>
      <c r="P79" s="40"/>
      <c r="Q79" s="21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7:35" x14ac:dyDescent="0.2">
      <c r="G80" s="40"/>
      <c r="I80" s="21"/>
      <c r="J80" s="21"/>
      <c r="K80" s="21"/>
      <c r="L80" s="21"/>
      <c r="N80" s="21"/>
      <c r="O80" s="21"/>
      <c r="P80" s="40"/>
      <c r="Q80" s="21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7:35" x14ac:dyDescent="0.2">
      <c r="G81" s="40"/>
      <c r="I81" s="21"/>
      <c r="J81" s="21"/>
      <c r="K81" s="21"/>
      <c r="L81" s="21"/>
      <c r="N81" s="21"/>
      <c r="O81" s="21"/>
      <c r="P81" s="40"/>
      <c r="Q81" s="21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7:35" x14ac:dyDescent="0.2">
      <c r="G82" s="40"/>
      <c r="I82" s="21"/>
      <c r="J82" s="21"/>
      <c r="K82" s="21"/>
      <c r="L82" s="21"/>
      <c r="N82" s="21"/>
      <c r="O82" s="21"/>
      <c r="P82" s="40"/>
      <c r="Q82" s="21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7:35" x14ac:dyDescent="0.2">
      <c r="G83" s="40"/>
      <c r="I83" s="21"/>
      <c r="J83" s="21"/>
      <c r="K83" s="21"/>
      <c r="L83" s="21"/>
      <c r="N83" s="21"/>
      <c r="O83" s="21"/>
      <c r="P83" s="40"/>
      <c r="Q83" s="21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7:35" x14ac:dyDescent="0.2">
      <c r="G84" s="40"/>
      <c r="I84" s="21"/>
      <c r="J84" s="21"/>
      <c r="K84" s="21"/>
      <c r="L84" s="21"/>
      <c r="N84" s="21"/>
      <c r="O84" s="21"/>
      <c r="T84" s="40"/>
      <c r="U84" s="21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7:35" x14ac:dyDescent="0.2">
      <c r="G85" s="40"/>
      <c r="I85" s="21"/>
      <c r="J85" s="21"/>
      <c r="K85" s="21"/>
      <c r="L85" s="21"/>
      <c r="N85" s="21"/>
      <c r="O85" s="21"/>
      <c r="T85" s="40"/>
      <c r="U85" s="21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7:35" x14ac:dyDescent="0.2">
      <c r="G86" s="40"/>
      <c r="I86" s="21"/>
      <c r="J86" s="21"/>
      <c r="K86" s="21"/>
      <c r="L86" s="21"/>
      <c r="N86" s="21"/>
      <c r="O86" s="21"/>
      <c r="T86" s="40"/>
      <c r="U86" s="21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7:35" x14ac:dyDescent="0.2">
      <c r="G87" s="40"/>
      <c r="I87" s="21"/>
      <c r="J87" s="21"/>
      <c r="K87" s="21"/>
      <c r="L87" s="21"/>
      <c r="N87" s="21"/>
      <c r="O87" s="21"/>
      <c r="T87" s="40"/>
      <c r="U87" s="21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7:35" x14ac:dyDescent="0.2">
      <c r="G88" s="40"/>
      <c r="I88" s="21"/>
      <c r="J88" s="21"/>
      <c r="K88" s="21"/>
      <c r="L88" s="21"/>
      <c r="N88" s="21"/>
      <c r="O88" s="21"/>
      <c r="T88" s="40"/>
      <c r="U88" s="21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7:35" x14ac:dyDescent="0.2">
      <c r="G89" s="40"/>
      <c r="I89" s="21"/>
      <c r="J89" s="21"/>
      <c r="K89" s="21"/>
      <c r="L89" s="21"/>
      <c r="N89" s="21"/>
      <c r="O89" s="21"/>
      <c r="T89" s="40"/>
      <c r="U89" s="21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7:35" x14ac:dyDescent="0.2">
      <c r="G90" s="40"/>
      <c r="I90" s="21"/>
      <c r="J90" s="21"/>
      <c r="K90" s="21"/>
      <c r="L90" s="21"/>
      <c r="N90" s="21"/>
      <c r="O90" s="21"/>
      <c r="T90" s="40"/>
      <c r="U90" s="21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7:35" x14ac:dyDescent="0.2">
      <c r="G91" s="40"/>
      <c r="I91" s="21"/>
      <c r="J91" s="21"/>
      <c r="K91" s="21"/>
      <c r="L91" s="21"/>
      <c r="T91" s="40"/>
      <c r="U91" s="21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7:35" x14ac:dyDescent="0.2">
      <c r="G92" s="40"/>
      <c r="I92" s="21"/>
      <c r="J92" s="21"/>
      <c r="K92" s="21"/>
      <c r="L92" s="21"/>
      <c r="T92" s="40"/>
      <c r="U92" s="21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7:35" x14ac:dyDescent="0.2">
      <c r="G93" s="40"/>
      <c r="I93" s="21"/>
      <c r="J93" s="21"/>
      <c r="K93" s="21"/>
      <c r="L93" s="21"/>
      <c r="T93" s="40"/>
      <c r="U93" s="21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7:35" x14ac:dyDescent="0.2">
      <c r="G94" s="40"/>
      <c r="I94" s="21"/>
      <c r="J94" s="21"/>
      <c r="K94" s="21"/>
      <c r="L94" s="21"/>
      <c r="T94" s="40"/>
      <c r="U94" s="21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7:35" x14ac:dyDescent="0.2">
      <c r="G95" s="40"/>
      <c r="I95" s="21"/>
      <c r="J95" s="21"/>
      <c r="K95" s="21"/>
      <c r="L95" s="21"/>
      <c r="T95" s="40"/>
      <c r="U95" s="21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</sheetData>
  <printOptions gridLines="1" gridLinesSet="0"/>
  <pageMargins left="1" right="1" top="0.5" bottom="0.1" header="1.75" footer="0.5"/>
  <pageSetup scale="99" orientation="portrait" horizontalDpi="300" verticalDpi="300" r:id="rId1"/>
  <headerFooter alignWithMargins="0"/>
  <colBreaks count="1" manualBreakCount="1">
    <brk id="12" max="5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0D853-784B-4403-8B93-1757E3D40868}">
  <dimension ref="A1:AR98"/>
  <sheetViews>
    <sheetView zoomScaleNormal="100" workbookViewId="0">
      <selection sqref="A1:L54"/>
    </sheetView>
  </sheetViews>
  <sheetFormatPr defaultColWidth="13.42578125" defaultRowHeight="12.75" x14ac:dyDescent="0.2"/>
  <cols>
    <col min="1" max="11" width="8.5703125" style="4" customWidth="1"/>
    <col min="12" max="12" width="10.7109375" style="4" customWidth="1"/>
    <col min="13" max="13" width="6.140625" style="4" customWidth="1"/>
    <col min="14" max="14" width="8" style="4" bestFit="1" customWidth="1"/>
    <col min="15" max="15" width="6.42578125" style="4" customWidth="1"/>
    <col min="16" max="16" width="8.85546875" style="4" customWidth="1"/>
    <col min="17" max="17" width="6.42578125" style="4" customWidth="1"/>
    <col min="18" max="18" width="7" style="4" bestFit="1" customWidth="1"/>
    <col min="19" max="19" width="8.7109375" style="4" customWidth="1"/>
    <col min="20" max="20" width="8" style="4" customWidth="1"/>
    <col min="21" max="21" width="9.140625" style="4" customWidth="1"/>
    <col min="22" max="22" width="8.28515625" style="4" customWidth="1"/>
    <col min="23" max="23" width="8.42578125" style="4" bestFit="1" customWidth="1"/>
    <col min="24" max="24" width="4.28515625" style="4" customWidth="1"/>
    <col min="25" max="25" width="6.5703125" style="4" customWidth="1"/>
    <col min="26" max="26" width="4.7109375" style="4" customWidth="1"/>
    <col min="27" max="27" width="8" style="4" customWidth="1"/>
    <col min="28" max="29" width="8" style="4" bestFit="1" customWidth="1"/>
    <col min="30" max="30" width="5.140625" style="4" customWidth="1"/>
    <col min="31" max="31" width="7.42578125" style="4" customWidth="1"/>
    <col min="32" max="32" width="5.85546875" style="4" customWidth="1"/>
    <col min="33" max="33" width="8.7109375" style="4" customWidth="1"/>
    <col min="34" max="34" width="8" style="4" customWidth="1"/>
    <col min="35" max="16384" width="13.42578125" style="4"/>
  </cols>
  <sheetData>
    <row r="1" spans="1:44" x14ac:dyDescent="0.2">
      <c r="A1" s="54"/>
      <c r="D1" s="5" t="s">
        <v>82</v>
      </c>
      <c r="G1" s="2"/>
      <c r="H1" s="2"/>
      <c r="I1" s="2"/>
      <c r="J1" s="2"/>
      <c r="O1" s="2"/>
      <c r="P1" s="2"/>
      <c r="Q1" s="2"/>
      <c r="R1" s="2"/>
      <c r="S1" s="2"/>
      <c r="T1" s="7"/>
      <c r="U1" s="2"/>
      <c r="V1" s="2"/>
      <c r="W1" s="2"/>
      <c r="Z1" s="2"/>
      <c r="AA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x14ac:dyDescent="0.2">
      <c r="A2" s="2"/>
      <c r="B2" s="2"/>
      <c r="D2" s="54" t="s">
        <v>83</v>
      </c>
      <c r="G2" s="2"/>
      <c r="H2" s="2"/>
      <c r="I2" s="2"/>
      <c r="J2" s="2"/>
      <c r="O2" s="2"/>
      <c r="P2" s="2"/>
      <c r="Q2" s="2"/>
      <c r="R2" s="2"/>
      <c r="S2" s="2"/>
      <c r="T2" s="2"/>
      <c r="V2" s="2"/>
      <c r="W2" s="2"/>
      <c r="Z2" s="2"/>
      <c r="AA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2">
      <c r="A3" s="8"/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10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44" x14ac:dyDescent="0.2">
      <c r="A4" s="11"/>
      <c r="B4" s="12" t="s">
        <v>63</v>
      </c>
      <c r="C4" s="2"/>
      <c r="D4" s="2"/>
      <c r="E4" s="2"/>
      <c r="F4" s="12" t="s">
        <v>64</v>
      </c>
      <c r="H4" s="2"/>
      <c r="I4" s="2"/>
      <c r="J4" s="12"/>
      <c r="K4" s="2"/>
      <c r="M4" s="2"/>
      <c r="N4" s="2"/>
      <c r="O4" s="2"/>
      <c r="P4" s="2"/>
      <c r="Q4" s="2"/>
      <c r="R4" s="2"/>
      <c r="S4" s="2"/>
      <c r="T4" s="12"/>
      <c r="U4" s="2"/>
      <c r="W4" s="12"/>
      <c r="X4" s="1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44" x14ac:dyDescent="0.2">
      <c r="A5" s="2"/>
      <c r="B5" s="12" t="s">
        <v>84</v>
      </c>
      <c r="C5" s="2"/>
      <c r="D5" s="12" t="s">
        <v>66</v>
      </c>
      <c r="E5" s="12"/>
      <c r="F5" s="12" t="s">
        <v>67</v>
      </c>
      <c r="H5" s="12" t="s">
        <v>68</v>
      </c>
      <c r="I5" s="12"/>
      <c r="J5" s="12"/>
      <c r="K5" s="12" t="s">
        <v>12</v>
      </c>
      <c r="L5" s="12" t="s">
        <v>69</v>
      </c>
      <c r="M5" s="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44" x14ac:dyDescent="0.2">
      <c r="A6" s="2"/>
      <c r="B6" s="12" t="s">
        <v>70</v>
      </c>
      <c r="C6" s="2"/>
      <c r="D6" s="12" t="s">
        <v>71</v>
      </c>
      <c r="E6" s="12"/>
      <c r="F6" s="12" t="s">
        <v>85</v>
      </c>
      <c r="H6" s="12" t="s">
        <v>85</v>
      </c>
      <c r="I6" s="12"/>
      <c r="J6" s="12" t="s">
        <v>86</v>
      </c>
      <c r="K6" s="12">
        <v>2026</v>
      </c>
      <c r="L6" s="12" t="s">
        <v>74</v>
      </c>
      <c r="M6" s="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44" x14ac:dyDescent="0.2">
      <c r="A7" s="88" t="s">
        <v>13</v>
      </c>
      <c r="B7" s="16" t="s">
        <v>16</v>
      </c>
      <c r="C7" s="17"/>
      <c r="D7" s="16" t="s">
        <v>17</v>
      </c>
      <c r="E7" s="16"/>
      <c r="F7" s="16" t="s">
        <v>17</v>
      </c>
      <c r="H7" s="16" t="s">
        <v>17</v>
      </c>
      <c r="I7" s="16"/>
      <c r="J7" s="16" t="s">
        <v>18</v>
      </c>
      <c r="K7" s="16" t="s">
        <v>58</v>
      </c>
      <c r="L7" s="16" t="s">
        <v>75</v>
      </c>
      <c r="M7" s="17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4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  <c r="N8" s="2"/>
      <c r="O8" s="2"/>
      <c r="P8" s="2"/>
      <c r="Q8" s="2"/>
      <c r="R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44" x14ac:dyDescent="0.2">
      <c r="A9" s="2"/>
      <c r="B9" s="2"/>
      <c r="D9" s="2" t="s">
        <v>76</v>
      </c>
      <c r="E9" s="2"/>
      <c r="F9" s="2"/>
      <c r="G9" s="2"/>
      <c r="H9" s="2"/>
      <c r="I9" s="2"/>
      <c r="J9" s="2"/>
      <c r="K9" s="2"/>
      <c r="L9" s="2"/>
      <c r="M9" s="1"/>
      <c r="N9" s="2"/>
      <c r="O9" s="2"/>
      <c r="P9" s="2"/>
      <c r="Q9" s="2"/>
      <c r="R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4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44" x14ac:dyDescent="0.2">
      <c r="A11" s="29">
        <v>2018</v>
      </c>
      <c r="B11" s="69">
        <v>0.32600000000000001</v>
      </c>
      <c r="C11" s="29"/>
      <c r="D11" s="32">
        <v>982.25</v>
      </c>
      <c r="E11" s="29"/>
      <c r="F11" s="37">
        <v>43249</v>
      </c>
      <c r="G11" s="29"/>
      <c r="H11" s="179">
        <v>1060.5</v>
      </c>
      <c r="I11" s="29"/>
      <c r="J11" s="69">
        <f t="shared" ref="J11:J40" si="0">H11/D11</f>
        <v>1.0796640366505472</v>
      </c>
      <c r="K11" s="32">
        <f>J11*$D$18</f>
        <v>1147.4129549503691</v>
      </c>
      <c r="L11" s="180">
        <v>1.0649999999999999</v>
      </c>
      <c r="M11" s="54"/>
      <c r="N11" s="25"/>
      <c r="O11" s="25"/>
      <c r="P11" s="25"/>
      <c r="Q11" s="2"/>
      <c r="R11" s="26"/>
      <c r="S11" s="2"/>
      <c r="T11" s="27"/>
      <c r="U11" s="2"/>
      <c r="V11" s="28"/>
      <c r="W11" s="2"/>
      <c r="X11" s="26"/>
      <c r="Y11" s="28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44" x14ac:dyDescent="0.2">
      <c r="A12" s="19">
        <v>2024</v>
      </c>
      <c r="B12" s="68">
        <v>0.29899999999999999</v>
      </c>
      <c r="C12" s="19"/>
      <c r="D12" s="21">
        <v>1222</v>
      </c>
      <c r="E12" s="19"/>
      <c r="F12" s="35">
        <v>45293</v>
      </c>
      <c r="G12" s="19"/>
      <c r="H12" s="21">
        <v>1237</v>
      </c>
      <c r="I12" s="19"/>
      <c r="J12" s="68">
        <f>H12/D12</f>
        <v>1.0122749590834696</v>
      </c>
      <c r="K12" s="21">
        <f t="shared" ref="K12:K40" si="1">J12*$D$18</f>
        <v>1075.7952127659573</v>
      </c>
      <c r="L12" s="181">
        <v>1.1060000000000001</v>
      </c>
      <c r="M12" s="54"/>
      <c r="N12" s="25"/>
      <c r="O12" s="25"/>
      <c r="P12" s="25"/>
      <c r="Q12" s="2"/>
      <c r="R12" s="26"/>
      <c r="S12" s="2"/>
      <c r="T12" s="27"/>
      <c r="U12" s="2"/>
      <c r="V12" s="28"/>
      <c r="W12" s="2"/>
      <c r="X12" s="26"/>
      <c r="Y12" s="28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44" s="5" customFormat="1" x14ac:dyDescent="0.2">
      <c r="A13" s="99" t="s">
        <v>77</v>
      </c>
      <c r="B13" s="69">
        <v>0.3</v>
      </c>
      <c r="C13" s="29"/>
      <c r="D13" s="32">
        <v>1397</v>
      </c>
      <c r="E13" s="32"/>
      <c r="F13" s="37">
        <v>45131</v>
      </c>
      <c r="G13" s="36"/>
      <c r="H13" s="32">
        <v>1435</v>
      </c>
      <c r="I13" s="29"/>
      <c r="J13" s="69">
        <f t="shared" si="0"/>
        <v>1.0272011453113816</v>
      </c>
      <c r="K13" s="32">
        <f t="shared" si="1"/>
        <v>1091.6580171796709</v>
      </c>
      <c r="L13" s="69">
        <v>1.0953999999999999</v>
      </c>
      <c r="M13" s="42"/>
      <c r="N13" s="43"/>
      <c r="O13" s="43"/>
      <c r="P13" s="43"/>
      <c r="Q13" s="43"/>
      <c r="R13" s="44"/>
      <c r="S13" s="44"/>
      <c r="T13" s="45"/>
      <c r="U13" s="45"/>
      <c r="V13" s="46"/>
      <c r="W13" s="46"/>
      <c r="X13" s="44"/>
      <c r="Y13" s="46"/>
      <c r="Z13" s="41"/>
      <c r="AA13" s="41"/>
      <c r="AB13" s="41"/>
      <c r="AC13" s="41"/>
      <c r="AD13" s="41"/>
      <c r="AE13" s="41"/>
      <c r="AF13" s="41"/>
      <c r="AG13" s="41"/>
      <c r="AH13" s="41"/>
      <c r="AI13" s="41"/>
    </row>
    <row r="14" spans="1:44" x14ac:dyDescent="0.2">
      <c r="A14" s="106" t="s">
        <v>78</v>
      </c>
      <c r="B14" s="68">
        <v>0.29499999999999998</v>
      </c>
      <c r="C14" s="19"/>
      <c r="D14" s="21">
        <v>1028</v>
      </c>
      <c r="E14" s="21"/>
      <c r="F14" s="35">
        <v>45975</v>
      </c>
      <c r="H14" s="21">
        <v>1138.75</v>
      </c>
      <c r="I14" s="19"/>
      <c r="J14" s="68">
        <f>H14/D14</f>
        <v>1.1077334630350195</v>
      </c>
      <c r="K14" s="21">
        <f t="shared" si="1"/>
        <v>1177.243737840467</v>
      </c>
      <c r="L14" s="68">
        <v>1.034</v>
      </c>
      <c r="M14" s="1"/>
      <c r="N14" s="25"/>
      <c r="O14" s="25"/>
      <c r="P14" s="25"/>
      <c r="Q14" s="2"/>
      <c r="R14" s="26"/>
      <c r="S14" s="2"/>
      <c r="T14" s="27"/>
      <c r="U14" s="2"/>
      <c r="V14" s="28"/>
      <c r="W14" s="2"/>
      <c r="X14" s="26"/>
      <c r="Y14" s="28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44" x14ac:dyDescent="0.2">
      <c r="A15" s="29">
        <v>2016</v>
      </c>
      <c r="B15" s="69">
        <v>0.28999999999999998</v>
      </c>
      <c r="C15" s="29"/>
      <c r="D15" s="32">
        <v>872.75</v>
      </c>
      <c r="E15" s="29"/>
      <c r="F15" s="37">
        <v>42534</v>
      </c>
      <c r="G15" s="29"/>
      <c r="H15" s="179">
        <v>1186.25</v>
      </c>
      <c r="I15" s="29"/>
      <c r="J15" s="69">
        <f t="shared" si="0"/>
        <v>1.3592093955886566</v>
      </c>
      <c r="K15" s="32">
        <f t="shared" si="1"/>
        <v>1444.4997851618448</v>
      </c>
      <c r="L15" s="180">
        <v>1.1143039591315453</v>
      </c>
      <c r="M15" s="54"/>
      <c r="N15" s="25"/>
      <c r="O15" s="25"/>
      <c r="P15" s="25"/>
      <c r="Q15" s="25"/>
      <c r="R15" s="26"/>
      <c r="S15" s="26"/>
      <c r="T15" s="27"/>
      <c r="U15" s="34"/>
      <c r="V15" s="28"/>
      <c r="W15" s="28"/>
      <c r="X15" s="26"/>
      <c r="Y15" s="28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44" x14ac:dyDescent="0.2">
      <c r="A16" s="106">
        <v>2017</v>
      </c>
      <c r="B16" s="68">
        <v>0.28999999999999998</v>
      </c>
      <c r="C16" s="19"/>
      <c r="D16" s="21">
        <v>983.25</v>
      </c>
      <c r="E16" s="21"/>
      <c r="F16" s="35">
        <v>42927</v>
      </c>
      <c r="H16" s="21">
        <v>1047</v>
      </c>
      <c r="I16" s="19"/>
      <c r="J16" s="68">
        <f t="shared" si="0"/>
        <v>1.0648360030511059</v>
      </c>
      <c r="K16" s="21">
        <f t="shared" si="1"/>
        <v>1131.6544622425629</v>
      </c>
      <c r="L16" s="68">
        <v>1.0257497727961224</v>
      </c>
      <c r="M16" s="1"/>
      <c r="N16" s="25"/>
      <c r="O16" s="25"/>
      <c r="P16" s="25"/>
      <c r="Q16" s="2"/>
      <c r="R16" s="26"/>
      <c r="S16" s="2"/>
      <c r="T16" s="27"/>
      <c r="U16" s="2"/>
      <c r="V16" s="28"/>
      <c r="W16" s="2"/>
      <c r="X16" s="26"/>
      <c r="Y16" s="28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">
      <c r="A17" s="29">
        <v>2010</v>
      </c>
      <c r="B17" s="69">
        <v>0.27870916961826064</v>
      </c>
      <c r="C17" s="29"/>
      <c r="D17" s="32">
        <v>1020</v>
      </c>
      <c r="E17" s="29"/>
      <c r="F17" s="37">
        <v>40494</v>
      </c>
      <c r="G17" s="29"/>
      <c r="H17" s="179">
        <v>1337.75</v>
      </c>
      <c r="I17" s="29"/>
      <c r="J17" s="69">
        <f t="shared" si="0"/>
        <v>1.3115196078431373</v>
      </c>
      <c r="K17" s="32">
        <f t="shared" si="1"/>
        <v>1393.8174632352941</v>
      </c>
      <c r="L17" s="180">
        <v>1.0900000000000001</v>
      </c>
      <c r="M17" s="1"/>
      <c r="N17" s="25"/>
      <c r="O17" s="25"/>
      <c r="P17" s="25"/>
      <c r="Q17" s="25"/>
      <c r="R17" s="26"/>
      <c r="S17" s="26"/>
      <c r="T17" s="27"/>
      <c r="U17" s="27"/>
      <c r="V17" s="28"/>
      <c r="W17" s="28"/>
      <c r="X17" s="26"/>
      <c r="Y17" s="28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">
      <c r="A18" s="66">
        <v>2026</v>
      </c>
      <c r="B18" s="70">
        <v>0.28399999999999997</v>
      </c>
      <c r="C18" s="66"/>
      <c r="D18" s="51">
        <v>1062.75</v>
      </c>
      <c r="E18" s="66"/>
      <c r="F18" s="182"/>
      <c r="G18" s="66"/>
      <c r="H18" s="183">
        <v>1200</v>
      </c>
      <c r="I18" s="66" t="s">
        <v>24</v>
      </c>
      <c r="J18" s="70">
        <f t="shared" si="0"/>
        <v>1.1291460832745237</v>
      </c>
      <c r="K18" s="51">
        <f t="shared" si="1"/>
        <v>1200</v>
      </c>
      <c r="L18" s="184">
        <v>1.03</v>
      </c>
      <c r="M18" s="1"/>
      <c r="N18" s="25"/>
      <c r="O18" s="25"/>
      <c r="P18" s="25"/>
      <c r="Q18" s="25"/>
      <c r="R18" s="26"/>
      <c r="S18" s="26"/>
      <c r="T18" s="27"/>
      <c r="U18" s="27"/>
      <c r="V18" s="28"/>
      <c r="W18" s="28"/>
      <c r="X18" s="26"/>
      <c r="Y18" s="28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">
      <c r="A19" s="99">
        <v>2006</v>
      </c>
      <c r="B19" s="69">
        <v>0.27725472943246798</v>
      </c>
      <c r="C19" s="29"/>
      <c r="D19" s="32">
        <v>645.25</v>
      </c>
      <c r="E19" s="32"/>
      <c r="F19" s="37">
        <v>39030</v>
      </c>
      <c r="G19" s="36"/>
      <c r="H19" s="32">
        <v>670</v>
      </c>
      <c r="I19" s="29"/>
      <c r="J19" s="69">
        <f t="shared" si="0"/>
        <v>1.0383572258814413</v>
      </c>
      <c r="K19" s="32">
        <f t="shared" si="1"/>
        <v>1103.5141418055018</v>
      </c>
      <c r="L19" s="69">
        <v>1.1000000000000001</v>
      </c>
      <c r="M19" s="42"/>
      <c r="N19" s="25"/>
      <c r="O19" s="25"/>
      <c r="P19" s="25"/>
      <c r="Q19" s="25"/>
      <c r="R19" s="26"/>
      <c r="S19" s="26"/>
      <c r="T19" s="27"/>
      <c r="U19" s="27"/>
      <c r="V19" s="28"/>
      <c r="W19" s="28"/>
      <c r="X19" s="26"/>
      <c r="Y19" s="28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2">
      <c r="A20" s="106" t="s">
        <v>79</v>
      </c>
      <c r="B20" s="68">
        <v>0.28000000000000003</v>
      </c>
      <c r="C20" s="19"/>
      <c r="D20" s="21">
        <v>1283.75</v>
      </c>
      <c r="E20" s="21"/>
      <c r="F20" s="35">
        <v>44721</v>
      </c>
      <c r="H20" s="21">
        <v>1584.75</v>
      </c>
      <c r="I20" s="19"/>
      <c r="J20" s="68">
        <f t="shared" si="0"/>
        <v>1.2344693281402142</v>
      </c>
      <c r="K20" s="21">
        <f t="shared" si="1"/>
        <v>1311.9322784810126</v>
      </c>
      <c r="L20" s="68">
        <v>1.02</v>
      </c>
      <c r="M20" s="1"/>
      <c r="N20" s="25"/>
      <c r="O20" s="25"/>
      <c r="P20" s="25"/>
      <c r="Q20" s="25"/>
      <c r="R20" s="26"/>
      <c r="S20" s="26"/>
      <c r="T20" s="27"/>
      <c r="U20" s="27"/>
      <c r="V20" s="28"/>
      <c r="W20" s="28"/>
      <c r="X20" s="26"/>
      <c r="Y20" s="28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2">
      <c r="A21" s="29">
        <v>2020</v>
      </c>
      <c r="B21" s="69">
        <v>0.2742</v>
      </c>
      <c r="C21" s="29"/>
      <c r="D21" s="32">
        <v>980.75</v>
      </c>
      <c r="E21" s="29"/>
      <c r="F21" s="37">
        <v>44145</v>
      </c>
      <c r="G21" s="29"/>
      <c r="H21" s="179">
        <v>1145.25</v>
      </c>
      <c r="I21" s="29"/>
      <c r="J21" s="69">
        <f t="shared" si="0"/>
        <v>1.1677287789956665</v>
      </c>
      <c r="K21" s="32">
        <f t="shared" si="1"/>
        <v>1241.0037598776446</v>
      </c>
      <c r="L21" s="180">
        <v>1.0189999999999999</v>
      </c>
    </row>
    <row r="22" spans="1:35" x14ac:dyDescent="0.2">
      <c r="A22" s="19">
        <v>2014</v>
      </c>
      <c r="B22" s="68">
        <v>0.25586206896551733</v>
      </c>
      <c r="C22" s="19"/>
      <c r="D22" s="21">
        <v>1129</v>
      </c>
      <c r="E22" s="19"/>
      <c r="F22" s="35">
        <v>41781</v>
      </c>
      <c r="G22" s="19"/>
      <c r="H22" s="185">
        <v>1279</v>
      </c>
      <c r="I22" s="19"/>
      <c r="J22" s="68">
        <f t="shared" si="0"/>
        <v>1.1328609388839681</v>
      </c>
      <c r="K22" s="21">
        <f t="shared" si="1"/>
        <v>1203.9479627989372</v>
      </c>
      <c r="L22" s="181">
        <v>1.1582338038364095</v>
      </c>
      <c r="M22" s="54"/>
      <c r="X22" s="26"/>
      <c r="Y22" s="28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2">
      <c r="A23" s="99">
        <v>2005</v>
      </c>
      <c r="B23" s="69">
        <v>0.25067285382830601</v>
      </c>
      <c r="C23" s="29"/>
      <c r="D23" s="32">
        <v>558.75</v>
      </c>
      <c r="E23" s="32"/>
      <c r="F23" s="37">
        <v>38525</v>
      </c>
      <c r="G23" s="36"/>
      <c r="H23" s="32">
        <v>770</v>
      </c>
      <c r="I23" s="29"/>
      <c r="J23" s="69">
        <f t="shared" si="0"/>
        <v>1.378076062639821</v>
      </c>
      <c r="K23" s="32">
        <f t="shared" si="1"/>
        <v>1464.5503355704698</v>
      </c>
      <c r="L23" s="69">
        <v>1.07</v>
      </c>
      <c r="M23" s="1"/>
      <c r="X23" s="26"/>
      <c r="Y23" s="28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2">
      <c r="A24" s="19">
        <v>2009</v>
      </c>
      <c r="B24" s="68">
        <v>0.24905427631578947</v>
      </c>
      <c r="C24" s="19"/>
      <c r="D24" s="21">
        <v>1003.5</v>
      </c>
      <c r="E24" s="19"/>
      <c r="F24" s="35">
        <v>39975</v>
      </c>
      <c r="G24" s="19"/>
      <c r="H24" s="185">
        <v>1099.5</v>
      </c>
      <c r="I24" s="19"/>
      <c r="J24" s="68">
        <f t="shared" si="0"/>
        <v>1.0956651718983557</v>
      </c>
      <c r="K24" s="21">
        <f t="shared" si="1"/>
        <v>1164.4181614349775</v>
      </c>
      <c r="L24" s="181">
        <v>1.18</v>
      </c>
      <c r="M24" s="1"/>
      <c r="X24" s="26"/>
      <c r="Y24" s="28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2">
      <c r="A25" s="99">
        <v>2015</v>
      </c>
      <c r="B25" s="69">
        <v>0.25057471264367825</v>
      </c>
      <c r="C25" s="29"/>
      <c r="D25" s="32">
        <v>993.25</v>
      </c>
      <c r="E25" s="32"/>
      <c r="F25" s="37">
        <v>42199</v>
      </c>
      <c r="G25" s="36"/>
      <c r="H25" s="32">
        <v>1045</v>
      </c>
      <c r="I25" s="29"/>
      <c r="J25" s="69">
        <f t="shared" si="0"/>
        <v>1.0521016863830859</v>
      </c>
      <c r="K25" s="32">
        <f t="shared" si="1"/>
        <v>1118.1210672036245</v>
      </c>
      <c r="L25" s="69">
        <v>1.0304433497536944</v>
      </c>
      <c r="M25" s="1"/>
      <c r="X25" s="26"/>
      <c r="Y25" s="28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2">
      <c r="A26" s="19">
        <v>2004</v>
      </c>
      <c r="B26" s="68">
        <v>0.23667315175097275</v>
      </c>
      <c r="C26" s="19"/>
      <c r="D26" s="21">
        <v>638.25</v>
      </c>
      <c r="E26" s="19"/>
      <c r="F26" s="35">
        <v>38070</v>
      </c>
      <c r="G26" s="19"/>
      <c r="H26" s="185">
        <v>799</v>
      </c>
      <c r="I26" s="19"/>
      <c r="J26" s="68">
        <f t="shared" si="0"/>
        <v>1.2518605562083822</v>
      </c>
      <c r="K26" s="21">
        <f t="shared" si="1"/>
        <v>1330.4148061104581</v>
      </c>
      <c r="L26" s="181">
        <v>1.1299999999999999</v>
      </c>
      <c r="X26" s="26"/>
      <c r="Y26" s="28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2">
      <c r="A27" s="99">
        <v>2013</v>
      </c>
      <c r="B27" s="69">
        <v>0.22580528411147319</v>
      </c>
      <c r="C27" s="29"/>
      <c r="D27" s="32">
        <v>1294</v>
      </c>
      <c r="E27" s="32"/>
      <c r="F27" s="37">
        <v>41513</v>
      </c>
      <c r="G27" s="36"/>
      <c r="H27" s="32">
        <v>1409.5</v>
      </c>
      <c r="I27" s="29"/>
      <c r="J27" s="69">
        <f t="shared" si="0"/>
        <v>1.0892581143740341</v>
      </c>
      <c r="K27" s="32">
        <f t="shared" si="1"/>
        <v>1157.6090610510048</v>
      </c>
      <c r="L27" s="69">
        <v>1.0621712997746056</v>
      </c>
      <c r="X27" s="44"/>
      <c r="Y27" s="46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2">
      <c r="A28" s="19">
        <v>2002</v>
      </c>
      <c r="B28" s="68">
        <v>0.22447257383966246</v>
      </c>
      <c r="C28" s="19"/>
      <c r="D28" s="21">
        <v>430</v>
      </c>
      <c r="E28" s="19"/>
      <c r="F28" s="35">
        <v>37510</v>
      </c>
      <c r="G28" s="19"/>
      <c r="H28" s="185">
        <v>591</v>
      </c>
      <c r="I28" s="19"/>
      <c r="J28" s="68">
        <f t="shared" si="0"/>
        <v>1.3744186046511628</v>
      </c>
      <c r="K28" s="21">
        <f t="shared" si="1"/>
        <v>1460.6633720930233</v>
      </c>
      <c r="L28" s="181">
        <v>1.08</v>
      </c>
      <c r="M28" s="1"/>
      <c r="X28" s="26"/>
      <c r="Y28" s="28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2">
      <c r="A29" s="99">
        <v>2012</v>
      </c>
      <c r="B29" s="69">
        <v>0.21151969981238275</v>
      </c>
      <c r="C29" s="29"/>
      <c r="D29" s="32">
        <v>1219</v>
      </c>
      <c r="E29" s="32"/>
      <c r="F29" s="37">
        <v>41156</v>
      </c>
      <c r="G29" s="36"/>
      <c r="H29" s="32">
        <v>1789</v>
      </c>
      <c r="I29" s="29"/>
      <c r="J29" s="69">
        <f t="shared" si="0"/>
        <v>1.4675963904840033</v>
      </c>
      <c r="K29" s="32">
        <f t="shared" si="1"/>
        <v>1559.6880639868746</v>
      </c>
      <c r="L29" s="69">
        <v>1.0458511881573822</v>
      </c>
      <c r="O29" s="5"/>
      <c r="X29" s="26"/>
      <c r="Y29" s="28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2">
      <c r="A30" s="19">
        <v>1994</v>
      </c>
      <c r="B30" s="68">
        <v>0.2005417956656351</v>
      </c>
      <c r="C30" s="19"/>
      <c r="D30" s="21">
        <v>651.75</v>
      </c>
      <c r="E30" s="19"/>
      <c r="F30" s="35">
        <v>34516</v>
      </c>
      <c r="G30" s="19"/>
      <c r="H30" s="185">
        <v>699</v>
      </c>
      <c r="I30" s="19"/>
      <c r="J30" s="68">
        <f t="shared" si="0"/>
        <v>1.0724971231300344</v>
      </c>
      <c r="K30" s="21">
        <f t="shared" si="1"/>
        <v>1139.7963176064441</v>
      </c>
      <c r="L30" s="181">
        <v>1.1399999999999999</v>
      </c>
      <c r="N30" s="25"/>
      <c r="O30" s="25"/>
      <c r="P30" s="25"/>
      <c r="Q30" s="1"/>
      <c r="R30" s="26"/>
      <c r="S30" s="2"/>
      <c r="T30" s="27"/>
      <c r="U30" s="34"/>
      <c r="V30" s="28"/>
      <c r="W30" s="28"/>
      <c r="X30" s="26"/>
      <c r="Y30" s="28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2">
      <c r="A31" s="99">
        <v>1990</v>
      </c>
      <c r="B31" s="69">
        <v>0.19779270633397339</v>
      </c>
      <c r="C31" s="29"/>
      <c r="D31" s="32">
        <v>613.5</v>
      </c>
      <c r="E31" s="32"/>
      <c r="F31" s="37">
        <v>32994</v>
      </c>
      <c r="G31" s="36"/>
      <c r="H31" s="32">
        <v>682</v>
      </c>
      <c r="I31" s="29"/>
      <c r="J31" s="69">
        <f t="shared" si="0"/>
        <v>1.1116544417277914</v>
      </c>
      <c r="K31" s="32">
        <f t="shared" si="1"/>
        <v>1181.4107579462102</v>
      </c>
      <c r="L31" s="69">
        <v>1</v>
      </c>
      <c r="N31" s="2"/>
      <c r="O31" s="2"/>
      <c r="P31" s="2"/>
      <c r="Q31" s="2"/>
      <c r="R31" s="2"/>
      <c r="S31" s="2"/>
      <c r="T31" s="9"/>
      <c r="U31" s="2"/>
      <c r="V31" s="2"/>
      <c r="W31" s="2"/>
      <c r="X31" s="26"/>
      <c r="Y31" s="28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2">
      <c r="A32" s="19">
        <v>2001</v>
      </c>
      <c r="B32" s="68">
        <v>0.19261487964989063</v>
      </c>
      <c r="C32" s="19"/>
      <c r="D32" s="21">
        <v>513.25</v>
      </c>
      <c r="E32" s="19"/>
      <c r="F32" s="35">
        <v>37089</v>
      </c>
      <c r="G32" s="19"/>
      <c r="H32" s="185">
        <v>538</v>
      </c>
      <c r="I32" s="19"/>
      <c r="J32" s="68">
        <f t="shared" si="0"/>
        <v>1.0482221139795422</v>
      </c>
      <c r="K32" s="21">
        <f t="shared" si="1"/>
        <v>1113.9980516317585</v>
      </c>
      <c r="L32" s="181">
        <v>1.07</v>
      </c>
      <c r="P32" s="2"/>
      <c r="Q32" s="2"/>
      <c r="R32" s="2"/>
      <c r="S32" s="2"/>
      <c r="T32" s="2"/>
      <c r="U32" s="2"/>
      <c r="V32" s="2"/>
      <c r="W32" s="65"/>
      <c r="X32" s="26"/>
      <c r="Y32" s="28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x14ac:dyDescent="0.2">
      <c r="A33" s="99">
        <v>2000</v>
      </c>
      <c r="B33" s="69">
        <v>0.19127167630057823</v>
      </c>
      <c r="C33" s="29"/>
      <c r="D33" s="32">
        <v>492.5</v>
      </c>
      <c r="E33" s="32"/>
      <c r="F33" s="37">
        <v>36649</v>
      </c>
      <c r="G33" s="36"/>
      <c r="H33" s="32">
        <v>594.5</v>
      </c>
      <c r="I33" s="29"/>
      <c r="J33" s="69">
        <f t="shared" si="0"/>
        <v>1.2071065989847716</v>
      </c>
      <c r="K33" s="32">
        <f t="shared" si="1"/>
        <v>1282.852538071066</v>
      </c>
      <c r="L33" s="69">
        <v>1.1000000000000001</v>
      </c>
      <c r="P33" s="2"/>
      <c r="Q33" s="2"/>
      <c r="R33" s="2"/>
      <c r="S33" s="2"/>
      <c r="T33" s="2"/>
      <c r="U33" s="2"/>
      <c r="V33" s="2"/>
      <c r="W33" s="65"/>
      <c r="X33" s="26"/>
      <c r="Y33" s="28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x14ac:dyDescent="0.2">
      <c r="A34" s="19">
        <v>1999</v>
      </c>
      <c r="B34" s="68">
        <v>0.18971141781681328</v>
      </c>
      <c r="C34" s="19"/>
      <c r="D34" s="21">
        <v>562</v>
      </c>
      <c r="E34" s="19"/>
      <c r="F34" s="35">
        <v>36166</v>
      </c>
      <c r="G34" s="19"/>
      <c r="H34" s="185">
        <v>573</v>
      </c>
      <c r="I34" s="19"/>
      <c r="J34" s="68">
        <f t="shared" si="0"/>
        <v>1.0195729537366549</v>
      </c>
      <c r="K34" s="21">
        <f t="shared" si="1"/>
        <v>1083.55115658363</v>
      </c>
      <c r="L34" s="181">
        <v>1.01</v>
      </c>
      <c r="N34" s="188"/>
      <c r="P34" s="2"/>
      <c r="Q34" s="2"/>
      <c r="R34" s="2"/>
      <c r="S34" s="2"/>
      <c r="T34" s="2"/>
      <c r="U34" s="2"/>
      <c r="V34" s="2"/>
      <c r="W34" s="65"/>
      <c r="X34" s="44"/>
      <c r="Y34" s="46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x14ac:dyDescent="0.2">
      <c r="A35" s="99">
        <v>1997</v>
      </c>
      <c r="B35" s="69">
        <v>0.18838004101162015</v>
      </c>
      <c r="C35" s="29"/>
      <c r="D35" s="32">
        <v>665.75</v>
      </c>
      <c r="E35" s="32"/>
      <c r="F35" s="37">
        <v>35745</v>
      </c>
      <c r="G35" s="36"/>
      <c r="H35" s="32">
        <v>748</v>
      </c>
      <c r="I35" s="29"/>
      <c r="J35" s="69">
        <f t="shared" si="0"/>
        <v>1.1235448742020278</v>
      </c>
      <c r="K35" s="32">
        <f t="shared" si="1"/>
        <v>1194.047315058205</v>
      </c>
      <c r="L35" s="69">
        <v>1.17</v>
      </c>
      <c r="P35" s="2"/>
      <c r="Q35" s="2"/>
      <c r="R35" s="2"/>
      <c r="S35" s="2"/>
      <c r="T35" s="2"/>
      <c r="U35" s="2"/>
      <c r="V35" s="2"/>
      <c r="W35" s="65"/>
      <c r="X35" s="26"/>
      <c r="Y35" s="28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2">
      <c r="A36" s="19">
        <v>1998</v>
      </c>
      <c r="B36" s="68">
        <v>0.18526249209361195</v>
      </c>
      <c r="C36" s="19"/>
      <c r="D36" s="21">
        <v>658.25</v>
      </c>
      <c r="E36" s="19"/>
      <c r="F36" s="35">
        <v>35835</v>
      </c>
      <c r="G36" s="19"/>
      <c r="H36" s="185">
        <v>684</v>
      </c>
      <c r="I36" s="19"/>
      <c r="J36" s="68">
        <f t="shared" si="0"/>
        <v>1.0391188758070642</v>
      </c>
      <c r="K36" s="21">
        <f t="shared" si="1"/>
        <v>1104.3235852639575</v>
      </c>
      <c r="L36" s="181">
        <v>1.0900000000000001</v>
      </c>
      <c r="P36" s="2"/>
      <c r="Q36" s="2"/>
      <c r="R36" s="2"/>
      <c r="S36" s="2"/>
      <c r="T36" s="2"/>
      <c r="U36" s="2"/>
      <c r="V36" s="2"/>
      <c r="W36" s="2"/>
      <c r="X36" s="26"/>
      <c r="Y36" s="28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2">
      <c r="A37" s="99">
        <v>1992</v>
      </c>
      <c r="B37" s="69">
        <v>0.17497835497835529</v>
      </c>
      <c r="C37" s="29"/>
      <c r="D37" s="32">
        <v>574.5</v>
      </c>
      <c r="E37" s="32"/>
      <c r="F37" s="37">
        <v>33756</v>
      </c>
      <c r="G37" s="36"/>
      <c r="H37" s="32">
        <v>651</v>
      </c>
      <c r="I37" s="29"/>
      <c r="J37" s="69">
        <f t="shared" si="0"/>
        <v>1.133159268929504</v>
      </c>
      <c r="K37" s="32">
        <f t="shared" si="1"/>
        <v>1204.2650130548304</v>
      </c>
      <c r="L37" s="69">
        <v>1.07</v>
      </c>
      <c r="P37" s="2"/>
      <c r="Q37" s="2"/>
      <c r="R37" s="2"/>
      <c r="S37" s="2"/>
      <c r="T37" s="2"/>
      <c r="U37" s="2"/>
      <c r="V37" s="2"/>
      <c r="W37" s="2"/>
      <c r="X37" s="26"/>
      <c r="Y37" s="28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2">
      <c r="A38" s="19">
        <v>1991</v>
      </c>
      <c r="B38" s="68">
        <v>0.16797445255474502</v>
      </c>
      <c r="C38" s="19"/>
      <c r="D38" s="21">
        <v>602.75</v>
      </c>
      <c r="E38" s="19"/>
      <c r="F38" s="35">
        <v>33452</v>
      </c>
      <c r="G38" s="19"/>
      <c r="H38" s="185">
        <v>650</v>
      </c>
      <c r="I38" s="19"/>
      <c r="J38" s="68">
        <f t="shared" si="0"/>
        <v>1.0783907092492742</v>
      </c>
      <c r="K38" s="21">
        <f t="shared" si="1"/>
        <v>1146.0597262546662</v>
      </c>
      <c r="L38" s="181">
        <v>1.03</v>
      </c>
      <c r="P38" s="2"/>
      <c r="Q38" s="2"/>
      <c r="R38" s="2"/>
      <c r="S38" s="2"/>
      <c r="T38" s="2"/>
      <c r="U38" s="2"/>
      <c r="V38" s="2"/>
      <c r="W38" s="2"/>
      <c r="X38" s="26"/>
      <c r="Y38" s="28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x14ac:dyDescent="0.2">
      <c r="A39" s="99">
        <v>1993</v>
      </c>
      <c r="B39" s="69">
        <v>0.14436152570480973</v>
      </c>
      <c r="C39" s="29"/>
      <c r="D39" s="32">
        <v>587.75</v>
      </c>
      <c r="E39" s="32"/>
      <c r="F39" s="37">
        <v>34169</v>
      </c>
      <c r="G39" s="36"/>
      <c r="H39" s="32">
        <v>757.5</v>
      </c>
      <c r="I39" s="29"/>
      <c r="J39" s="69">
        <f t="shared" si="0"/>
        <v>1.2888132709485325</v>
      </c>
      <c r="K39" s="32">
        <f t="shared" si="1"/>
        <v>1369.6863037005528</v>
      </c>
      <c r="L39" s="69">
        <v>1.02</v>
      </c>
      <c r="P39" s="2"/>
      <c r="Q39" s="2"/>
      <c r="R39" s="2"/>
      <c r="S39" s="2"/>
      <c r="T39" s="2"/>
      <c r="U39" s="2"/>
      <c r="V39" s="2"/>
      <c r="W39" s="2"/>
      <c r="X39" s="44"/>
      <c r="Y39" s="46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2">
      <c r="A40" s="19">
        <v>1996</v>
      </c>
      <c r="B40" s="68">
        <v>0.11785185185185225</v>
      </c>
      <c r="C40" s="19"/>
      <c r="D40" s="21">
        <v>705.75</v>
      </c>
      <c r="E40" s="19"/>
      <c r="F40" s="35">
        <v>35258</v>
      </c>
      <c r="G40" s="19"/>
      <c r="H40" s="185">
        <v>825</v>
      </c>
      <c r="I40" s="19"/>
      <c r="J40" s="68">
        <f t="shared" si="0"/>
        <v>1.1689691817215728</v>
      </c>
      <c r="K40" s="21">
        <f t="shared" si="1"/>
        <v>1242.3219978746015</v>
      </c>
      <c r="L40" s="181">
        <v>1</v>
      </c>
      <c r="P40" s="2"/>
      <c r="Q40" s="2"/>
      <c r="R40" s="2"/>
      <c r="S40" s="2"/>
      <c r="T40" s="2"/>
      <c r="U40" s="2"/>
      <c r="V40" s="2"/>
      <c r="W40" s="2"/>
      <c r="X40" s="26"/>
      <c r="Y40" s="28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2">
      <c r="G41" s="65"/>
      <c r="K41" s="21"/>
      <c r="P41" s="2"/>
      <c r="Q41" s="2"/>
      <c r="R41" s="2"/>
      <c r="S41" s="2"/>
      <c r="T41" s="2"/>
      <c r="U41" s="2"/>
      <c r="V41" s="2"/>
      <c r="W41" s="2"/>
      <c r="X41" s="26"/>
      <c r="Y41" s="28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x14ac:dyDescent="0.2">
      <c r="A42" s="66" t="s">
        <v>22</v>
      </c>
      <c r="B42" s="70">
        <f>MEDIAN(B11:B40)</f>
        <v>0.24286371403338111</v>
      </c>
      <c r="G42" s="65"/>
      <c r="J42" s="70">
        <f>MEDIAN(J11:J40)</f>
        <v>1.1175996579649095</v>
      </c>
      <c r="K42" s="51">
        <f>MEDIAN(K11:K40)</f>
        <v>1187.7290365022077</v>
      </c>
      <c r="P42" s="2"/>
      <c r="Q42" s="2"/>
      <c r="R42" s="2"/>
      <c r="S42" s="2"/>
      <c r="T42" s="2"/>
      <c r="U42" s="2"/>
      <c r="V42" s="2"/>
      <c r="W42" s="2"/>
      <c r="X42" s="26"/>
      <c r="Y42" s="28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2">
      <c r="A43" s="41"/>
      <c r="B43" s="2"/>
      <c r="C43" s="2"/>
      <c r="D43" s="2"/>
      <c r="E43" s="2"/>
      <c r="F43" s="2"/>
      <c r="G43" s="2"/>
      <c r="H43" s="2"/>
      <c r="I43" s="2"/>
      <c r="J43" s="9"/>
      <c r="K43" s="2"/>
      <c r="L43" s="2"/>
      <c r="N43" s="21"/>
      <c r="P43" s="2"/>
      <c r="Q43" s="2"/>
      <c r="R43" s="2"/>
      <c r="S43" s="2"/>
      <c r="T43" s="2"/>
      <c r="U43" s="2"/>
      <c r="V43" s="2"/>
      <c r="W43" s="2"/>
      <c r="X43" s="26"/>
      <c r="Y43" s="28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x14ac:dyDescent="0.2">
      <c r="D44" s="2" t="s">
        <v>80</v>
      </c>
      <c r="E44" s="2"/>
      <c r="L44" s="2"/>
      <c r="P44" s="2"/>
      <c r="Q44" s="2"/>
      <c r="R44" s="2"/>
      <c r="S44" s="2"/>
      <c r="T44" s="2"/>
      <c r="U44" s="2"/>
      <c r="V44" s="2"/>
      <c r="W44" s="2"/>
      <c r="X44" s="26"/>
      <c r="Y44" s="28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x14ac:dyDescent="0.2">
      <c r="L45" s="41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x14ac:dyDescent="0.2">
      <c r="A46" s="19">
        <v>2019</v>
      </c>
      <c r="B46" s="68">
        <v>0.27</v>
      </c>
      <c r="C46" s="19"/>
      <c r="D46" s="21">
        <v>943.75</v>
      </c>
      <c r="E46" s="19"/>
      <c r="F46" s="35">
        <v>43497</v>
      </c>
      <c r="G46" s="19"/>
      <c r="H46" s="185">
        <v>969.25</v>
      </c>
      <c r="I46" s="19"/>
      <c r="J46" s="68">
        <f t="shared" ref="J46:J52" si="2">H46/D46</f>
        <v>1.0270198675496689</v>
      </c>
      <c r="K46" s="21">
        <f>J46*$D$18</f>
        <v>1091.4653642384105</v>
      </c>
      <c r="L46" s="181">
        <v>0.97</v>
      </c>
      <c r="M46" s="54"/>
      <c r="N46" s="25"/>
      <c r="O46" s="25"/>
      <c r="P46" s="25"/>
      <c r="Q46" s="2"/>
      <c r="R46" s="26"/>
      <c r="S46" s="2"/>
      <c r="T46" s="27"/>
      <c r="U46" s="2"/>
      <c r="V46" s="28"/>
      <c r="W46" s="2"/>
      <c r="X46" s="26"/>
      <c r="Y46" s="28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2">
      <c r="A47" s="99" t="s">
        <v>87</v>
      </c>
      <c r="B47" s="69">
        <v>0.26550000000000001</v>
      </c>
      <c r="C47" s="36"/>
      <c r="D47" s="32">
        <v>1120.75</v>
      </c>
      <c r="E47" s="32"/>
      <c r="F47" s="37">
        <v>44354</v>
      </c>
      <c r="G47" s="36"/>
      <c r="H47" s="32">
        <v>1480</v>
      </c>
      <c r="I47" s="29"/>
      <c r="J47" s="69">
        <f t="shared" si="2"/>
        <v>1.3205442783850101</v>
      </c>
      <c r="K47" s="32">
        <f t="shared" ref="K47:K52" si="3">J47*$D$18</f>
        <v>1403.4084318536695</v>
      </c>
      <c r="L47" s="69">
        <v>0.98</v>
      </c>
      <c r="X47" s="26"/>
      <c r="Y47" s="28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x14ac:dyDescent="0.2">
      <c r="A48" s="19">
        <v>2007</v>
      </c>
      <c r="B48" s="68">
        <v>0.22942458587619863</v>
      </c>
      <c r="C48" s="19"/>
      <c r="D48" s="21">
        <v>726.25</v>
      </c>
      <c r="E48" s="19"/>
      <c r="F48" s="35">
        <v>39400</v>
      </c>
      <c r="G48" s="19"/>
      <c r="H48" s="185">
        <v>1066</v>
      </c>
      <c r="I48" s="19"/>
      <c r="J48" s="68">
        <f t="shared" si="2"/>
        <v>1.4678141135972462</v>
      </c>
      <c r="K48" s="21">
        <f t="shared" si="3"/>
        <v>1559.9194492254735</v>
      </c>
      <c r="L48" s="181">
        <v>0.96</v>
      </c>
      <c r="N48" s="21"/>
      <c r="O48" s="40"/>
      <c r="P48" s="21"/>
      <c r="V48" s="2"/>
      <c r="W48" s="2"/>
      <c r="X48" s="2"/>
      <c r="Y48" s="2"/>
    </row>
    <row r="49" spans="1:28" x14ac:dyDescent="0.2">
      <c r="A49" s="99">
        <v>2011</v>
      </c>
      <c r="B49" s="69">
        <v>0.2101477449455677</v>
      </c>
      <c r="C49" s="36"/>
      <c r="D49" s="32">
        <v>1294.25</v>
      </c>
      <c r="E49" s="32"/>
      <c r="F49" s="37">
        <v>40786</v>
      </c>
      <c r="G49" s="36"/>
      <c r="H49" s="32">
        <v>1465</v>
      </c>
      <c r="I49" s="29"/>
      <c r="J49" s="69">
        <f t="shared" si="2"/>
        <v>1.1319296890090786</v>
      </c>
      <c r="K49" s="32">
        <f t="shared" si="3"/>
        <v>1202.9582769943984</v>
      </c>
      <c r="L49" s="69">
        <v>0.95</v>
      </c>
      <c r="N49" s="21"/>
      <c r="O49" s="40"/>
      <c r="P49" s="21"/>
      <c r="V49" s="2"/>
      <c r="W49" s="2"/>
      <c r="X49" s="2"/>
      <c r="Y49" s="2"/>
      <c r="Z49" s="2"/>
      <c r="AA49" s="2"/>
      <c r="AB49" s="2"/>
    </row>
    <row r="50" spans="1:28" x14ac:dyDescent="0.2">
      <c r="A50" s="19">
        <v>2003</v>
      </c>
      <c r="B50" s="68">
        <v>0.20078534031413608</v>
      </c>
      <c r="C50" s="19"/>
      <c r="D50" s="21">
        <v>522</v>
      </c>
      <c r="E50" s="19"/>
      <c r="F50" s="35">
        <v>37924</v>
      </c>
      <c r="G50" s="19"/>
      <c r="H50" s="185">
        <v>802</v>
      </c>
      <c r="I50" s="19"/>
      <c r="J50" s="68">
        <f t="shared" si="2"/>
        <v>1.5363984674329503</v>
      </c>
      <c r="K50" s="21">
        <f t="shared" si="3"/>
        <v>1632.8074712643679</v>
      </c>
      <c r="L50" s="181">
        <v>0.99</v>
      </c>
      <c r="N50" s="21"/>
      <c r="O50" s="40"/>
      <c r="P50" s="21"/>
      <c r="V50" s="2"/>
      <c r="W50" s="2"/>
      <c r="X50" s="2"/>
      <c r="Y50" s="2"/>
      <c r="Z50" s="2"/>
      <c r="AA50" s="2"/>
      <c r="AB50" s="2"/>
    </row>
    <row r="51" spans="1:28" x14ac:dyDescent="0.2">
      <c r="A51" s="99">
        <v>2008</v>
      </c>
      <c r="B51" s="69">
        <v>0.19507900677200893</v>
      </c>
      <c r="C51" s="36"/>
      <c r="D51" s="32">
        <v>1148</v>
      </c>
      <c r="E51" s="32"/>
      <c r="F51" s="37">
        <v>39632</v>
      </c>
      <c r="G51" s="36"/>
      <c r="H51" s="32">
        <v>1635.5</v>
      </c>
      <c r="I51" s="29"/>
      <c r="J51" s="69">
        <f t="shared" si="2"/>
        <v>1.4246515679442509</v>
      </c>
      <c r="K51" s="32">
        <f t="shared" si="3"/>
        <v>1514.0484538327526</v>
      </c>
      <c r="L51" s="69">
        <v>0.92</v>
      </c>
      <c r="M51" s="21"/>
      <c r="N51" s="21"/>
      <c r="O51" s="40"/>
      <c r="P51" s="21"/>
      <c r="V51" s="2"/>
      <c r="W51" s="2"/>
      <c r="X51" s="2"/>
      <c r="Y51" s="2"/>
      <c r="Z51" s="2"/>
      <c r="AA51" s="2"/>
      <c r="AB51" s="2"/>
    </row>
    <row r="52" spans="1:28" x14ac:dyDescent="0.2">
      <c r="A52" s="19">
        <v>1995</v>
      </c>
      <c r="B52" s="68">
        <v>0.14400729150843131</v>
      </c>
      <c r="C52" s="19"/>
      <c r="D52" s="21">
        <v>587</v>
      </c>
      <c r="E52" s="19"/>
      <c r="F52" s="35">
        <v>35005</v>
      </c>
      <c r="G52" s="19"/>
      <c r="H52" s="185">
        <v>690</v>
      </c>
      <c r="I52" s="19"/>
      <c r="J52" s="68">
        <f t="shared" si="2"/>
        <v>1.1754684838160137</v>
      </c>
      <c r="K52" s="21">
        <f t="shared" si="3"/>
        <v>1249.2291311754684</v>
      </c>
      <c r="L52" s="181">
        <v>0.97</v>
      </c>
      <c r="M52" s="21"/>
      <c r="N52" s="21"/>
      <c r="O52" s="40"/>
      <c r="P52" s="21"/>
      <c r="V52" s="2"/>
      <c r="W52" s="2"/>
      <c r="X52" s="2"/>
      <c r="Y52" s="2"/>
      <c r="Z52" s="2"/>
      <c r="AA52" s="2"/>
      <c r="AB52" s="2"/>
    </row>
    <row r="53" spans="1:28" x14ac:dyDescent="0.2">
      <c r="A53" s="190"/>
      <c r="B53" s="70"/>
      <c r="C53" s="66"/>
      <c r="D53" s="51"/>
      <c r="E53" s="51"/>
      <c r="F53" s="182"/>
      <c r="G53" s="5"/>
      <c r="H53" s="51"/>
      <c r="I53" s="66"/>
      <c r="J53" s="70"/>
      <c r="K53" s="51"/>
      <c r="L53" s="68"/>
      <c r="M53" s="21"/>
      <c r="N53" s="21"/>
      <c r="O53" s="40"/>
      <c r="P53" s="21"/>
      <c r="V53" s="2"/>
      <c r="W53" s="2"/>
      <c r="X53" s="2"/>
      <c r="Y53" s="2"/>
      <c r="Z53" s="2"/>
      <c r="AA53" s="2"/>
      <c r="AB53" s="2"/>
    </row>
    <row r="54" spans="1:28" x14ac:dyDescent="0.2">
      <c r="A54" s="66" t="s">
        <v>22</v>
      </c>
      <c r="B54" s="70">
        <f>MEDIAN(B46:B52)</f>
        <v>0.2101477449455677</v>
      </c>
      <c r="C54" s="66"/>
      <c r="D54" s="51"/>
      <c r="E54" s="51"/>
      <c r="F54" s="182"/>
      <c r="G54" s="66"/>
      <c r="H54" s="183"/>
      <c r="I54" s="66"/>
      <c r="J54" s="70">
        <f>MEDIAN(J46:J52)</f>
        <v>1.3205442783850101</v>
      </c>
      <c r="K54" s="51">
        <f>MEDIAN(K46:K52)</f>
        <v>1403.4084318536695</v>
      </c>
      <c r="L54" s="181"/>
      <c r="M54" s="21"/>
      <c r="N54" s="21"/>
      <c r="O54" s="40"/>
      <c r="P54" s="21"/>
      <c r="V54" s="2"/>
      <c r="W54" s="2"/>
      <c r="X54" s="2"/>
      <c r="Y54" s="2"/>
      <c r="Z54" s="2"/>
      <c r="AA54" s="2"/>
      <c r="AB54" s="2"/>
    </row>
    <row r="55" spans="1:28" x14ac:dyDescent="0.2">
      <c r="A55" s="106"/>
      <c r="B55" s="68"/>
      <c r="D55" s="21"/>
      <c r="E55" s="21"/>
      <c r="F55" s="35"/>
      <c r="H55" s="21"/>
      <c r="I55" s="19"/>
      <c r="J55" s="68"/>
      <c r="K55" s="21"/>
      <c r="L55" s="68"/>
      <c r="M55" s="21"/>
      <c r="N55" s="21"/>
      <c r="O55" s="40"/>
      <c r="P55" s="21"/>
      <c r="V55" s="2"/>
      <c r="W55" s="2"/>
      <c r="X55" s="2"/>
      <c r="Y55" s="2"/>
      <c r="Z55" s="2"/>
      <c r="AA55" s="2"/>
      <c r="AB55" s="2"/>
    </row>
    <row r="56" spans="1:28" x14ac:dyDescent="0.2">
      <c r="F56" s="40"/>
      <c r="H56" s="21"/>
      <c r="I56" s="21"/>
      <c r="K56" s="21"/>
      <c r="L56" s="189"/>
      <c r="M56" s="21"/>
      <c r="N56" s="21"/>
      <c r="O56" s="40"/>
      <c r="P56" s="21"/>
      <c r="V56" s="2"/>
      <c r="W56" s="2"/>
      <c r="X56" s="2"/>
      <c r="Y56" s="2"/>
      <c r="Z56" s="2"/>
      <c r="AA56" s="2"/>
      <c r="AB56" s="2"/>
    </row>
    <row r="57" spans="1:28" x14ac:dyDescent="0.2">
      <c r="F57" s="40"/>
      <c r="H57" s="21"/>
      <c r="I57" s="21"/>
      <c r="K57" s="21"/>
      <c r="M57" s="21"/>
      <c r="N57" s="21"/>
      <c r="O57" s="40"/>
      <c r="P57" s="21"/>
      <c r="V57" s="2"/>
      <c r="W57" s="2"/>
      <c r="X57" s="2"/>
      <c r="Y57" s="2"/>
      <c r="Z57" s="2"/>
      <c r="AA57" s="2"/>
      <c r="AB57" s="2"/>
    </row>
    <row r="58" spans="1:28" x14ac:dyDescent="0.2">
      <c r="F58" s="40"/>
      <c r="H58" s="21"/>
      <c r="I58" s="21"/>
      <c r="K58" s="21"/>
      <c r="M58" s="21"/>
      <c r="N58" s="21"/>
      <c r="O58" s="40"/>
      <c r="P58" s="21"/>
      <c r="V58" s="2"/>
      <c r="W58" s="2"/>
      <c r="X58" s="2"/>
      <c r="Y58" s="2"/>
      <c r="Z58" s="2"/>
      <c r="AA58" s="2"/>
      <c r="AB58" s="2"/>
    </row>
    <row r="59" spans="1:28" x14ac:dyDescent="0.2">
      <c r="F59" s="40"/>
      <c r="H59" s="21"/>
      <c r="I59" s="21"/>
      <c r="K59" s="21"/>
      <c r="M59" s="21"/>
      <c r="N59" s="21"/>
      <c r="O59" s="40"/>
      <c r="P59" s="21"/>
      <c r="V59" s="2"/>
      <c r="W59" s="2"/>
      <c r="X59" s="2"/>
      <c r="Y59" s="2"/>
      <c r="Z59" s="2"/>
      <c r="AA59" s="2"/>
      <c r="AB59" s="2"/>
    </row>
    <row r="60" spans="1:28" x14ac:dyDescent="0.2">
      <c r="F60" s="40"/>
      <c r="H60" s="21"/>
      <c r="I60" s="21"/>
      <c r="J60" s="21"/>
      <c r="K60" s="21"/>
      <c r="M60" s="21"/>
      <c r="N60" s="21"/>
      <c r="O60" s="40"/>
      <c r="P60" s="21"/>
      <c r="V60" s="2"/>
      <c r="W60" s="2"/>
      <c r="X60" s="2"/>
      <c r="Y60" s="2"/>
      <c r="Z60" s="2"/>
      <c r="AA60" s="2"/>
      <c r="AB60" s="2"/>
    </row>
    <row r="61" spans="1:28" x14ac:dyDescent="0.2">
      <c r="F61" s="40"/>
      <c r="H61" s="21"/>
      <c r="I61" s="21"/>
      <c r="J61" s="21"/>
      <c r="K61" s="21"/>
      <c r="M61" s="21"/>
      <c r="N61" s="21"/>
      <c r="O61" s="40"/>
      <c r="P61" s="21"/>
      <c r="V61" s="2"/>
      <c r="W61" s="2"/>
      <c r="X61" s="2"/>
      <c r="Y61" s="2"/>
      <c r="Z61" s="2"/>
      <c r="AA61" s="2"/>
      <c r="AB61" s="2"/>
    </row>
    <row r="62" spans="1:28" x14ac:dyDescent="0.2">
      <c r="F62" s="40"/>
      <c r="H62" s="21"/>
      <c r="I62" s="21"/>
      <c r="J62" s="21"/>
      <c r="K62" s="21"/>
      <c r="M62" s="21"/>
      <c r="N62" s="21"/>
      <c r="O62" s="40"/>
      <c r="P62" s="21"/>
      <c r="V62" s="2"/>
      <c r="W62" s="2"/>
      <c r="X62" s="2"/>
      <c r="Y62" s="2"/>
      <c r="Z62" s="2"/>
      <c r="AA62" s="2"/>
      <c r="AB62" s="2"/>
    </row>
    <row r="63" spans="1:28" x14ac:dyDescent="0.2">
      <c r="F63" s="40"/>
      <c r="H63" s="21"/>
      <c r="I63" s="21"/>
      <c r="J63" s="21"/>
      <c r="K63" s="21"/>
      <c r="L63" s="21"/>
      <c r="M63" s="21"/>
      <c r="N63" s="21"/>
      <c r="O63" s="40"/>
      <c r="P63" s="21"/>
      <c r="V63" s="2"/>
      <c r="W63" s="2"/>
      <c r="X63" s="2"/>
      <c r="Y63" s="2"/>
      <c r="Z63" s="2"/>
      <c r="AA63" s="2"/>
      <c r="AB63" s="2"/>
    </row>
    <row r="64" spans="1:28" x14ac:dyDescent="0.2">
      <c r="F64" s="40"/>
      <c r="H64" s="21"/>
      <c r="I64" s="21"/>
      <c r="J64" s="21"/>
      <c r="K64" s="21"/>
      <c r="L64" s="21"/>
      <c r="M64" s="21"/>
      <c r="N64" s="21"/>
      <c r="O64" s="40"/>
      <c r="P64" s="21"/>
      <c r="V64" s="2"/>
      <c r="W64" s="2"/>
      <c r="X64" s="2"/>
      <c r="Y64" s="2"/>
      <c r="Z64" s="2"/>
      <c r="AA64" s="2"/>
      <c r="AB64" s="2"/>
    </row>
    <row r="65" spans="6:34" x14ac:dyDescent="0.2">
      <c r="F65" s="40"/>
      <c r="H65" s="21"/>
      <c r="I65" s="21"/>
      <c r="J65" s="21"/>
      <c r="K65" s="21"/>
      <c r="L65" s="21"/>
      <c r="M65" s="21"/>
      <c r="N65" s="21"/>
      <c r="O65" s="40"/>
      <c r="P65" s="21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6:34" x14ac:dyDescent="0.2">
      <c r="F66" s="40"/>
      <c r="H66" s="21"/>
      <c r="I66" s="21"/>
      <c r="J66" s="21"/>
      <c r="K66" s="21"/>
      <c r="L66" s="21"/>
      <c r="M66" s="21"/>
      <c r="N66" s="21"/>
      <c r="S66" s="40"/>
      <c r="T66" s="21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6:34" x14ac:dyDescent="0.2">
      <c r="F67" s="40"/>
      <c r="H67" s="21"/>
      <c r="I67" s="21"/>
      <c r="J67" s="21"/>
      <c r="K67" s="21"/>
      <c r="L67" s="21"/>
      <c r="M67" s="21"/>
      <c r="N67" s="21"/>
      <c r="S67" s="40"/>
      <c r="T67" s="21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6:34" x14ac:dyDescent="0.2">
      <c r="F68" s="40"/>
      <c r="H68" s="21"/>
      <c r="I68" s="21"/>
      <c r="J68" s="21"/>
      <c r="K68" s="21"/>
      <c r="L68" s="21"/>
      <c r="M68" s="21"/>
      <c r="N68" s="21"/>
      <c r="S68" s="40"/>
      <c r="T68" s="2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6:34" x14ac:dyDescent="0.2">
      <c r="F69" s="40"/>
      <c r="H69" s="21"/>
      <c r="I69" s="21"/>
      <c r="J69" s="21"/>
      <c r="K69" s="21"/>
      <c r="L69" s="21"/>
      <c r="M69" s="21"/>
      <c r="N69" s="21"/>
      <c r="S69" s="40"/>
      <c r="T69" s="21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6:34" x14ac:dyDescent="0.2">
      <c r="F70" s="40"/>
      <c r="H70" s="21"/>
      <c r="I70" s="21"/>
      <c r="J70" s="21"/>
      <c r="K70" s="21"/>
      <c r="M70" s="21"/>
      <c r="N70" s="21"/>
      <c r="S70" s="40"/>
      <c r="T70" s="21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6:34" x14ac:dyDescent="0.2">
      <c r="F71" s="40"/>
      <c r="H71" s="21"/>
      <c r="I71" s="21"/>
      <c r="J71" s="21"/>
      <c r="K71" s="21"/>
      <c r="M71" s="21"/>
      <c r="N71" s="21"/>
      <c r="S71" s="40"/>
      <c r="T71" s="21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6:34" x14ac:dyDescent="0.2">
      <c r="F72" s="40"/>
      <c r="H72" s="21"/>
      <c r="I72" s="21"/>
      <c r="J72" s="21"/>
      <c r="K72" s="21"/>
      <c r="M72" s="21"/>
      <c r="N72" s="21"/>
      <c r="S72" s="40"/>
      <c r="T72" s="21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6:34" x14ac:dyDescent="0.2">
      <c r="F73" s="40"/>
      <c r="H73" s="21"/>
      <c r="I73" s="21"/>
      <c r="J73" s="21"/>
      <c r="K73" s="21"/>
      <c r="M73" s="21"/>
      <c r="N73" s="21"/>
      <c r="S73" s="40"/>
      <c r="T73" s="21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6:34" x14ac:dyDescent="0.2">
      <c r="F74" s="40"/>
      <c r="H74" s="21"/>
      <c r="I74" s="21"/>
      <c r="J74" s="21"/>
      <c r="K74" s="21"/>
      <c r="M74" s="21"/>
      <c r="N74" s="21"/>
      <c r="S74" s="40"/>
      <c r="T74" s="21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6:34" x14ac:dyDescent="0.2">
      <c r="F75" s="40"/>
      <c r="H75" s="21"/>
      <c r="I75" s="21"/>
      <c r="J75" s="21"/>
      <c r="K75" s="21"/>
      <c r="M75" s="21"/>
      <c r="N75" s="21"/>
      <c r="S75" s="40"/>
      <c r="T75" s="21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6:34" x14ac:dyDescent="0.2">
      <c r="F76" s="40"/>
      <c r="H76" s="21"/>
      <c r="I76" s="21"/>
      <c r="J76" s="21"/>
      <c r="K76" s="21"/>
      <c r="M76" s="21"/>
      <c r="N76" s="21"/>
      <c r="S76" s="40"/>
      <c r="T76" s="21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6:34" x14ac:dyDescent="0.2">
      <c r="F77" s="40"/>
      <c r="H77" s="21"/>
      <c r="I77" s="21"/>
      <c r="J77" s="21"/>
      <c r="K77" s="21"/>
      <c r="M77" s="21"/>
      <c r="N77" s="21"/>
      <c r="S77" s="40"/>
      <c r="T77" s="21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6:34" x14ac:dyDescent="0.2">
      <c r="F78" s="40"/>
      <c r="H78" s="21"/>
      <c r="I78" s="21"/>
      <c r="J78" s="21"/>
      <c r="K78" s="21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6:34" x14ac:dyDescent="0.2">
      <c r="F79" s="40"/>
      <c r="H79" s="21"/>
      <c r="I79" s="21"/>
      <c r="J79" s="21"/>
      <c r="K79" s="21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6:34" x14ac:dyDescent="0.2">
      <c r="F80" s="40"/>
      <c r="H80" s="21"/>
      <c r="I80" s="21"/>
      <c r="J80" s="21"/>
      <c r="K80" s="21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6:34" x14ac:dyDescent="0.2">
      <c r="F81" s="40"/>
      <c r="H81" s="21"/>
      <c r="I81" s="21"/>
      <c r="J81" s="21"/>
      <c r="K81" s="21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6:34" x14ac:dyDescent="0.2">
      <c r="F82" s="40"/>
      <c r="H82" s="21"/>
      <c r="I82" s="21"/>
      <c r="J82" s="21"/>
      <c r="K82" s="21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6:34" x14ac:dyDescent="0.2">
      <c r="F83" s="40"/>
      <c r="H83" s="21"/>
      <c r="I83" s="21"/>
      <c r="J83" s="21"/>
      <c r="K83" s="21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6:34" x14ac:dyDescent="0.2">
      <c r="F84" s="40"/>
      <c r="H84" s="21"/>
      <c r="I84" s="21"/>
      <c r="J84" s="21"/>
      <c r="K84" s="21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6:34" x14ac:dyDescent="0.2">
      <c r="F85" s="40"/>
      <c r="H85" s="21"/>
      <c r="I85" s="21"/>
      <c r="J85" s="21"/>
      <c r="K85" s="21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6:34" x14ac:dyDescent="0.2">
      <c r="F86" s="40"/>
      <c r="H86" s="21"/>
      <c r="I86" s="21"/>
      <c r="J86" s="21"/>
      <c r="K86" s="21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6:34" x14ac:dyDescent="0.2">
      <c r="F87" s="40"/>
      <c r="H87" s="21"/>
      <c r="I87" s="21"/>
      <c r="J87" s="21"/>
      <c r="K87" s="21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6:34" x14ac:dyDescent="0.2">
      <c r="F88" s="40"/>
      <c r="H88" s="21"/>
      <c r="I88" s="21"/>
      <c r="J88" s="21"/>
      <c r="K88" s="21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6:34" x14ac:dyDescent="0.2">
      <c r="F89" s="40"/>
      <c r="H89" s="21"/>
      <c r="I89" s="21"/>
      <c r="J89" s="21"/>
      <c r="K89" s="21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6:34" x14ac:dyDescent="0.2">
      <c r="F90" s="40"/>
      <c r="H90" s="21"/>
      <c r="I90" s="21"/>
      <c r="J90" s="21"/>
      <c r="K90" s="21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6:34" x14ac:dyDescent="0.2">
      <c r="F91" s="40"/>
      <c r="H91" s="21"/>
      <c r="I91" s="21"/>
      <c r="J91" s="21"/>
      <c r="K91" s="21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6:34" x14ac:dyDescent="0.2">
      <c r="F92" s="40"/>
      <c r="H92" s="21"/>
      <c r="I92" s="21"/>
      <c r="J92" s="21"/>
      <c r="K92" s="21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6:34" x14ac:dyDescent="0.2">
      <c r="F93" s="40"/>
      <c r="H93" s="21"/>
      <c r="I93" s="21"/>
      <c r="J93" s="21"/>
      <c r="K93" s="21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6:34" x14ac:dyDescent="0.2"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6:34" x14ac:dyDescent="0.2"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6:34" x14ac:dyDescent="0.2"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24:34" x14ac:dyDescent="0.2"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24:34" x14ac:dyDescent="0.2"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</sheetData>
  <printOptions gridLines="1" gridLinesSet="0"/>
  <pageMargins left="1.25" right="0.75" top="0.5" bottom="0.6" header="1.75" footer="0.5"/>
  <pageSetup scale="94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105A-0A1B-4016-9046-FCA883FB02F9}">
  <dimension ref="B1:AD85"/>
  <sheetViews>
    <sheetView topLeftCell="A8" workbookViewId="0">
      <selection sqref="A1:L54"/>
    </sheetView>
  </sheetViews>
  <sheetFormatPr defaultColWidth="13.42578125" defaultRowHeight="12.75" x14ac:dyDescent="0.2"/>
  <cols>
    <col min="1" max="1" width="13.42578125" style="4"/>
    <col min="2" max="2" width="10.28515625" style="4" customWidth="1"/>
    <col min="3" max="3" width="7.140625" style="4" bestFit="1" customWidth="1"/>
    <col min="4" max="4" width="7.140625" style="4" customWidth="1"/>
    <col min="5" max="5" width="9.5703125" style="4" customWidth="1"/>
    <col min="6" max="6" width="7" style="4" customWidth="1"/>
    <col min="7" max="7" width="7.85546875" style="4" customWidth="1"/>
    <col min="8" max="8" width="8.7109375" style="4" customWidth="1"/>
    <col min="9" max="9" width="6.7109375" style="4" customWidth="1"/>
    <col min="10" max="10" width="8.7109375" style="4" customWidth="1"/>
    <col min="11" max="11" width="5.140625" style="19" customWidth="1"/>
    <col min="12" max="12" width="9.28515625" style="4" customWidth="1"/>
    <col min="13" max="13" width="5.28515625" style="4" bestFit="1" customWidth="1"/>
    <col min="14" max="14" width="9.7109375" style="4" customWidth="1"/>
    <col min="15" max="15" width="9.5703125" style="4" customWidth="1"/>
    <col min="16" max="16" width="4" style="4" customWidth="1"/>
    <col min="17" max="17" width="12.140625" style="4" customWidth="1"/>
    <col min="18" max="19" width="14.42578125" style="4" customWidth="1"/>
    <col min="20" max="20" width="15.5703125" style="4" customWidth="1"/>
    <col min="21" max="22" width="13.42578125" style="4" customWidth="1"/>
    <col min="23" max="24" width="12.140625" style="4" customWidth="1"/>
    <col min="25" max="25" width="13.28515625" style="4" customWidth="1"/>
    <col min="26" max="26" width="14.42578125" style="4" customWidth="1"/>
    <col min="27" max="30" width="12.140625" style="4" customWidth="1"/>
    <col min="31" max="16384" width="13.42578125" style="4"/>
  </cols>
  <sheetData>
    <row r="1" spans="2:30" ht="10.5" customHeight="1" x14ac:dyDescent="0.2">
      <c r="B1" s="54"/>
      <c r="C1" s="82"/>
      <c r="D1" s="82"/>
      <c r="E1" s="26"/>
      <c r="F1" s="82"/>
      <c r="G1" s="26"/>
      <c r="H1" s="63"/>
      <c r="I1" s="1"/>
      <c r="J1" s="27"/>
      <c r="K1" s="1"/>
      <c r="L1" s="63"/>
      <c r="M1" s="1"/>
      <c r="N1" s="25"/>
      <c r="O1" s="28"/>
      <c r="P1" s="2"/>
      <c r="Q1" s="54"/>
    </row>
    <row r="2" spans="2:30" ht="10.5" customHeight="1" x14ac:dyDescent="0.2">
      <c r="B2" s="54"/>
      <c r="C2" s="82"/>
      <c r="D2" s="82"/>
      <c r="E2" s="26"/>
      <c r="G2" s="190" t="s">
        <v>88</v>
      </c>
      <c r="H2" s="2"/>
      <c r="I2" s="2"/>
      <c r="J2" s="2"/>
      <c r="K2" s="1"/>
      <c r="L2" s="12"/>
      <c r="M2" s="12"/>
      <c r="N2" s="12"/>
      <c r="O2" s="12"/>
      <c r="P2" s="1"/>
      <c r="Q2" s="1"/>
      <c r="U2" s="19"/>
      <c r="X2" s="173"/>
      <c r="Y2" s="173"/>
      <c r="Z2" s="21"/>
      <c r="AA2" s="40"/>
      <c r="AB2" s="40"/>
      <c r="AC2" s="21"/>
      <c r="AD2" s="40"/>
    </row>
    <row r="3" spans="2:30" ht="10.5" customHeight="1" x14ac:dyDescent="0.2">
      <c r="B3" s="12"/>
      <c r="C3" s="12"/>
      <c r="D3" s="191"/>
      <c r="E3" s="54"/>
      <c r="F3" s="54" t="s">
        <v>89</v>
      </c>
      <c r="G3" s="2"/>
      <c r="H3" s="2"/>
      <c r="I3" s="2"/>
      <c r="J3" s="27"/>
      <c r="K3" s="1"/>
      <c r="L3" s="12"/>
      <c r="M3" s="12"/>
      <c r="N3" s="12"/>
      <c r="O3" s="12"/>
      <c r="P3" s="2"/>
      <c r="Q3" s="1"/>
      <c r="U3" s="19"/>
      <c r="X3" s="173"/>
      <c r="Y3" s="173"/>
      <c r="Z3" s="21"/>
      <c r="AA3" s="40"/>
      <c r="AB3" s="40"/>
      <c r="AC3" s="21"/>
      <c r="AD3" s="40"/>
    </row>
    <row r="4" spans="2:30" ht="10.5" customHeight="1" x14ac:dyDescent="0.2">
      <c r="B4" s="12"/>
      <c r="C4" s="12"/>
      <c r="D4" s="191"/>
      <c r="E4" s="54"/>
      <c r="G4" s="2"/>
      <c r="H4" s="2"/>
      <c r="I4" s="2"/>
      <c r="J4" s="27"/>
      <c r="K4" s="1"/>
      <c r="L4" s="12"/>
      <c r="M4" s="12"/>
      <c r="N4" s="12"/>
      <c r="O4" s="12"/>
      <c r="P4" s="2"/>
      <c r="Q4" s="1"/>
      <c r="U4" s="19"/>
      <c r="X4" s="173"/>
      <c r="Y4" s="173"/>
      <c r="Z4" s="21"/>
      <c r="AA4" s="40"/>
      <c r="AB4" s="40"/>
      <c r="AC4" s="21"/>
      <c r="AD4" s="40"/>
    </row>
    <row r="5" spans="2:30" ht="10.5" customHeight="1" x14ac:dyDescent="0.2">
      <c r="B5" s="2"/>
      <c r="C5" s="2"/>
      <c r="D5" s="2"/>
      <c r="E5" s="12" t="s">
        <v>63</v>
      </c>
      <c r="F5" s="2"/>
      <c r="G5" s="12" t="s">
        <v>63</v>
      </c>
      <c r="H5" s="12"/>
      <c r="I5" s="12"/>
      <c r="J5" s="27"/>
      <c r="K5" s="1"/>
      <c r="L5" s="12"/>
      <c r="M5" s="12"/>
      <c r="N5" s="12"/>
      <c r="O5" s="12"/>
      <c r="P5" s="2"/>
      <c r="Q5" s="54"/>
      <c r="U5" s="19"/>
      <c r="X5" s="173"/>
      <c r="Y5" s="173"/>
      <c r="Z5" s="21"/>
      <c r="AA5" s="40"/>
      <c r="AB5" s="40"/>
      <c r="AC5" s="21"/>
      <c r="AD5" s="40"/>
    </row>
    <row r="6" spans="2:30" ht="10.5" customHeight="1" x14ac:dyDescent="0.2">
      <c r="B6" s="2"/>
      <c r="C6" s="12" t="s">
        <v>90</v>
      </c>
      <c r="D6" s="12" t="s">
        <v>91</v>
      </c>
      <c r="E6" s="12" t="s">
        <v>92</v>
      </c>
      <c r="F6" s="12" t="s">
        <v>63</v>
      </c>
      <c r="G6" s="12" t="s">
        <v>93</v>
      </c>
      <c r="H6" s="12" t="s">
        <v>46</v>
      </c>
      <c r="I6" s="12"/>
      <c r="J6" s="27"/>
      <c r="K6" s="1"/>
      <c r="L6" s="12" t="s">
        <v>94</v>
      </c>
      <c r="M6" s="12"/>
      <c r="N6" s="85" t="s">
        <v>40</v>
      </c>
      <c r="O6" s="12" t="s">
        <v>12</v>
      </c>
      <c r="P6" s="2"/>
      <c r="Q6" s="54"/>
      <c r="U6" s="19"/>
      <c r="X6" s="173"/>
      <c r="Y6" s="173"/>
      <c r="Z6" s="21"/>
      <c r="AA6" s="40"/>
      <c r="AB6" s="40"/>
      <c r="AC6" s="21"/>
      <c r="AD6" s="40"/>
    </row>
    <row r="7" spans="2:30" ht="10.5" customHeight="1" x14ac:dyDescent="0.2">
      <c r="B7" s="2"/>
      <c r="C7" s="12" t="s">
        <v>63</v>
      </c>
      <c r="D7" s="12" t="s">
        <v>95</v>
      </c>
      <c r="E7" s="12" t="s">
        <v>96</v>
      </c>
      <c r="F7" s="12" t="s">
        <v>97</v>
      </c>
      <c r="G7" s="12" t="s">
        <v>98</v>
      </c>
      <c r="H7" s="85" t="s">
        <v>99</v>
      </c>
      <c r="I7" s="85"/>
      <c r="J7" s="27" t="s">
        <v>2</v>
      </c>
      <c r="K7" s="1"/>
      <c r="L7" s="12" t="s">
        <v>100</v>
      </c>
      <c r="M7" s="12"/>
      <c r="N7" s="85" t="s">
        <v>101</v>
      </c>
      <c r="O7" s="12" t="s">
        <v>102</v>
      </c>
      <c r="P7" s="2"/>
      <c r="U7" s="19"/>
      <c r="X7" s="173"/>
      <c r="Y7" s="173"/>
      <c r="Z7" s="21"/>
      <c r="AA7" s="40"/>
      <c r="AB7" s="40"/>
      <c r="AC7" s="21"/>
      <c r="AD7" s="40"/>
    </row>
    <row r="8" spans="2:30" ht="10.5" customHeight="1" x14ac:dyDescent="0.2">
      <c r="B8" s="2"/>
      <c r="C8" s="85" t="s">
        <v>14</v>
      </c>
      <c r="D8" s="85" t="s">
        <v>14</v>
      </c>
      <c r="E8" s="85" t="s">
        <v>103</v>
      </c>
      <c r="F8" s="12" t="s">
        <v>104</v>
      </c>
      <c r="G8" s="12" t="s">
        <v>50</v>
      </c>
      <c r="H8" s="12" t="s">
        <v>94</v>
      </c>
      <c r="I8" s="12"/>
      <c r="J8" s="192" t="s">
        <v>46</v>
      </c>
      <c r="K8" s="1"/>
      <c r="L8" s="12" t="s">
        <v>5</v>
      </c>
      <c r="M8" s="12"/>
      <c r="N8" s="85" t="s">
        <v>48</v>
      </c>
      <c r="O8" s="12" t="s">
        <v>46</v>
      </c>
      <c r="P8" s="2"/>
      <c r="U8" s="19"/>
      <c r="X8" s="173"/>
      <c r="Y8" s="173"/>
      <c r="Z8" s="21"/>
      <c r="AA8" s="40"/>
      <c r="AB8" s="40"/>
      <c r="AC8" s="21"/>
      <c r="AD8" s="40"/>
    </row>
    <row r="9" spans="2:30" ht="10.5" customHeight="1" x14ac:dyDescent="0.2">
      <c r="B9" s="88" t="s">
        <v>13</v>
      </c>
      <c r="C9" s="89" t="s">
        <v>105</v>
      </c>
      <c r="D9" s="89" t="s">
        <v>105</v>
      </c>
      <c r="E9" s="89" t="s">
        <v>14</v>
      </c>
      <c r="F9" s="89" t="s">
        <v>105</v>
      </c>
      <c r="G9" s="89" t="s">
        <v>105</v>
      </c>
      <c r="H9" s="16" t="s">
        <v>51</v>
      </c>
      <c r="I9" s="16"/>
      <c r="J9" s="192" t="s">
        <v>52</v>
      </c>
      <c r="K9" s="193"/>
      <c r="L9" s="16" t="s">
        <v>51</v>
      </c>
      <c r="M9" s="16"/>
      <c r="N9" s="89" t="s">
        <v>18</v>
      </c>
      <c r="O9" s="89" t="s">
        <v>52</v>
      </c>
      <c r="P9" s="2"/>
    </row>
    <row r="10" spans="2:30" ht="10.5" customHeight="1" x14ac:dyDescent="0.2">
      <c r="B10" s="88"/>
      <c r="C10" s="89"/>
      <c r="D10" s="89"/>
      <c r="E10" s="89"/>
      <c r="F10" s="89"/>
      <c r="G10" s="89"/>
      <c r="H10" s="16"/>
      <c r="I10" s="16"/>
      <c r="J10" s="192"/>
      <c r="K10" s="193"/>
      <c r="L10" s="16"/>
      <c r="M10" s="16"/>
      <c r="N10" s="89"/>
      <c r="O10" s="89"/>
      <c r="P10" s="2"/>
    </row>
    <row r="11" spans="2:30" ht="10.5" customHeight="1" x14ac:dyDescent="0.2">
      <c r="B11" s="88"/>
      <c r="C11" s="89"/>
      <c r="D11" s="89"/>
      <c r="E11" s="89"/>
      <c r="F11" s="89"/>
      <c r="H11" s="54" t="s">
        <v>106</v>
      </c>
      <c r="I11" s="16"/>
      <c r="J11" s="192"/>
      <c r="K11" s="193"/>
      <c r="L11" s="16"/>
      <c r="M11" s="16"/>
      <c r="N11" s="89"/>
      <c r="O11" s="89"/>
      <c r="P11" s="1"/>
    </row>
    <row r="12" spans="2:30" ht="10.5" customHeight="1" x14ac:dyDescent="0.2">
      <c r="B12" s="88"/>
      <c r="C12" s="89"/>
      <c r="D12" s="89"/>
      <c r="E12" s="89"/>
      <c r="F12" s="89"/>
      <c r="G12" s="89"/>
      <c r="H12" s="16"/>
      <c r="I12" s="16"/>
      <c r="J12" s="27"/>
      <c r="K12" s="193"/>
      <c r="L12" s="16"/>
      <c r="M12" s="16"/>
      <c r="N12" s="89"/>
      <c r="O12" s="89"/>
      <c r="P12" s="2"/>
      <c r="U12" s="19"/>
      <c r="X12" s="173"/>
      <c r="Y12" s="173"/>
      <c r="Z12" s="21"/>
      <c r="AA12" s="40"/>
      <c r="AB12" s="40"/>
      <c r="AC12" s="21"/>
      <c r="AD12" s="40"/>
    </row>
    <row r="13" spans="2:30" ht="12.6" customHeight="1" x14ac:dyDescent="0.2">
      <c r="B13" s="106">
        <v>2004</v>
      </c>
      <c r="C13" s="173">
        <v>205.6</v>
      </c>
      <c r="D13" s="173">
        <v>14.5</v>
      </c>
      <c r="E13" s="68">
        <v>1.331151832460733</v>
      </c>
      <c r="F13" s="173">
        <v>48.65</v>
      </c>
      <c r="G13" s="68">
        <v>0.23662451361867709</v>
      </c>
      <c r="H13" s="194">
        <v>506</v>
      </c>
      <c r="I13" s="19"/>
      <c r="J13" s="35">
        <v>38387</v>
      </c>
      <c r="L13" s="194">
        <v>548.25</v>
      </c>
      <c r="M13" s="19"/>
      <c r="N13" s="195">
        <f t="shared" ref="N13:N18" si="0">H13/L13</f>
        <v>0.92293661650706793</v>
      </c>
      <c r="O13" s="40">
        <f>N13*L$39</f>
        <v>989.38805289557683</v>
      </c>
      <c r="P13" s="2"/>
      <c r="U13" s="19"/>
      <c r="X13" s="173"/>
      <c r="Y13" s="173"/>
      <c r="Z13" s="21"/>
      <c r="AA13" s="40"/>
      <c r="AB13" s="40"/>
      <c r="AC13" s="21"/>
      <c r="AD13" s="40"/>
    </row>
    <row r="14" spans="2:30" ht="12.6" customHeight="1" x14ac:dyDescent="0.2">
      <c r="B14" s="99">
        <v>2002</v>
      </c>
      <c r="C14" s="196">
        <v>189.5</v>
      </c>
      <c r="D14" s="196">
        <v>6.1</v>
      </c>
      <c r="E14" s="69">
        <v>1.2698577680525163</v>
      </c>
      <c r="F14" s="196">
        <v>40.762</v>
      </c>
      <c r="G14" s="69">
        <v>0.2151029023746702</v>
      </c>
      <c r="H14" s="197">
        <v>536</v>
      </c>
      <c r="I14" s="29"/>
      <c r="J14" s="37">
        <v>37635</v>
      </c>
      <c r="K14" s="29"/>
      <c r="L14" s="197">
        <v>567.5</v>
      </c>
      <c r="M14" s="198"/>
      <c r="N14" s="199">
        <f t="shared" si="0"/>
        <v>0.94449339207048455</v>
      </c>
      <c r="O14" s="30">
        <f t="shared" ref="O14:O18" si="1">N14*L$39</f>
        <v>1012.4969162995594</v>
      </c>
      <c r="P14" s="2"/>
      <c r="U14" s="19"/>
      <c r="X14" s="173"/>
      <c r="Y14" s="173"/>
      <c r="Z14" s="21"/>
      <c r="AA14" s="40"/>
      <c r="AB14" s="40"/>
      <c r="AC14" s="21"/>
      <c r="AD14" s="40"/>
    </row>
    <row r="15" spans="2:30" ht="12.6" customHeight="1" x14ac:dyDescent="0.2">
      <c r="B15" s="106">
        <v>2011</v>
      </c>
      <c r="C15" s="173">
        <v>257.8</v>
      </c>
      <c r="D15" s="173">
        <v>2.6</v>
      </c>
      <c r="E15" s="68">
        <v>1.2207858546168959</v>
      </c>
      <c r="F15" s="173">
        <v>52.89</v>
      </c>
      <c r="G15" s="68">
        <v>0.20515903801396426</v>
      </c>
      <c r="H15" s="194">
        <v>1170.5</v>
      </c>
      <c r="I15" s="19"/>
      <c r="J15" s="35">
        <v>40920</v>
      </c>
      <c r="L15" s="194">
        <v>1246.75</v>
      </c>
      <c r="M15" s="19"/>
      <c r="N15" s="195">
        <f t="shared" si="0"/>
        <v>0.9388409865650692</v>
      </c>
      <c r="O15" s="40">
        <f t="shared" si="1"/>
        <v>1006.4375375977542</v>
      </c>
      <c r="P15" s="2"/>
      <c r="U15" s="19"/>
      <c r="X15" s="173"/>
      <c r="Y15" s="173"/>
      <c r="Z15" s="21"/>
      <c r="AA15" s="40"/>
      <c r="AB15" s="40"/>
      <c r="AC15" s="21"/>
      <c r="AD15" s="40"/>
    </row>
    <row r="16" spans="2:30" ht="12.6" customHeight="1" x14ac:dyDescent="0.2">
      <c r="B16" s="99">
        <v>1994</v>
      </c>
      <c r="C16" s="196">
        <v>131.4</v>
      </c>
      <c r="D16" s="196">
        <v>10.8</v>
      </c>
      <c r="E16" s="69">
        <v>1.2861525704809291</v>
      </c>
      <c r="F16" s="196">
        <v>23.71</v>
      </c>
      <c r="G16" s="69">
        <v>0.180441400304414</v>
      </c>
      <c r="H16" s="197">
        <v>559.25</v>
      </c>
      <c r="I16" s="29"/>
      <c r="J16" s="37">
        <v>34731</v>
      </c>
      <c r="K16" s="29"/>
      <c r="L16" s="197">
        <v>574</v>
      </c>
      <c r="M16" s="198"/>
      <c r="N16" s="199">
        <f t="shared" si="0"/>
        <v>0.9743031358885017</v>
      </c>
      <c r="O16" s="30">
        <f t="shared" si="1"/>
        <v>1044.4529616724737</v>
      </c>
    </row>
    <row r="17" spans="2:16" ht="12.6" customHeight="1" x14ac:dyDescent="0.2">
      <c r="B17" s="106">
        <v>2001</v>
      </c>
      <c r="C17" s="173">
        <v>182.8</v>
      </c>
      <c r="D17" s="173">
        <v>11.8</v>
      </c>
      <c r="E17" s="68">
        <v>1.2601734104046245</v>
      </c>
      <c r="F17" s="173">
        <v>33.162000000000006</v>
      </c>
      <c r="G17" s="68">
        <v>0.1814113785557987</v>
      </c>
      <c r="H17" s="194">
        <v>425</v>
      </c>
      <c r="I17" s="19"/>
      <c r="J17" s="35">
        <v>37258</v>
      </c>
      <c r="L17" s="194">
        <v>426.5</v>
      </c>
      <c r="M17" s="19"/>
      <c r="N17" s="195">
        <f t="shared" si="0"/>
        <v>0.99648300117233291</v>
      </c>
      <c r="O17" s="40">
        <f t="shared" si="1"/>
        <v>1068.2297772567408</v>
      </c>
    </row>
    <row r="18" spans="2:16" ht="12.6" customHeight="1" x14ac:dyDescent="0.2">
      <c r="B18" s="99" t="s">
        <v>34</v>
      </c>
      <c r="C18" s="196">
        <v>115.5</v>
      </c>
      <c r="D18" s="196">
        <v>5.9000000000000057</v>
      </c>
      <c r="E18" s="69">
        <v>1.2382299270072996</v>
      </c>
      <c r="F18" s="196">
        <v>20.21</v>
      </c>
      <c r="G18" s="69">
        <v>0.17497835497835498</v>
      </c>
      <c r="H18" s="197">
        <v>569.5</v>
      </c>
      <c r="I18" s="29"/>
      <c r="J18" s="37">
        <v>34008</v>
      </c>
      <c r="K18" s="29"/>
      <c r="L18" s="197">
        <v>581.25</v>
      </c>
      <c r="M18" s="198"/>
      <c r="N18" s="199">
        <f t="shared" si="0"/>
        <v>0.9797849462365591</v>
      </c>
      <c r="O18" s="30">
        <f t="shared" si="1"/>
        <v>1050.3294623655913</v>
      </c>
    </row>
    <row r="19" spans="2:16" ht="12.6" customHeight="1" x14ac:dyDescent="0.2">
      <c r="J19" s="147"/>
      <c r="N19" s="200"/>
      <c r="O19" s="40"/>
    </row>
    <row r="20" spans="2:16" ht="12.6" customHeight="1" x14ac:dyDescent="0.2">
      <c r="J20" s="147"/>
      <c r="N20" s="200"/>
      <c r="O20" s="40"/>
    </row>
    <row r="21" spans="2:16" s="5" customFormat="1" ht="12.6" customHeight="1" x14ac:dyDescent="0.2">
      <c r="B21" s="5" t="s">
        <v>22</v>
      </c>
      <c r="G21" s="201">
        <f>MEDIAN(G13:G18)</f>
        <v>0.19328520828488149</v>
      </c>
      <c r="J21" s="202"/>
      <c r="K21" s="66"/>
      <c r="L21" s="51">
        <f>MEDIAN(L13:L18)</f>
        <v>570.75</v>
      </c>
      <c r="N21" s="201">
        <f>MEDIAN(N13:N18)</f>
        <v>0.95939826397949313</v>
      </c>
      <c r="O21" s="203">
        <f>MEDIAN(O13:O18)</f>
        <v>1028.4749389860167</v>
      </c>
    </row>
    <row r="22" spans="2:16" ht="12.6" customHeight="1" x14ac:dyDescent="0.2">
      <c r="J22" s="147"/>
      <c r="N22" s="200"/>
      <c r="O22" s="40"/>
    </row>
    <row r="23" spans="2:16" ht="12.6" customHeight="1" x14ac:dyDescent="0.2">
      <c r="B23" s="88"/>
      <c r="C23" s="89"/>
      <c r="D23" s="89"/>
      <c r="E23" s="89"/>
      <c r="F23" s="54" t="s">
        <v>107</v>
      </c>
      <c r="H23" s="54"/>
      <c r="I23" s="16"/>
      <c r="J23" s="192"/>
      <c r="K23" s="193"/>
      <c r="L23" s="16"/>
      <c r="M23" s="16"/>
      <c r="N23" s="89"/>
      <c r="O23" s="89"/>
    </row>
    <row r="24" spans="2:16" ht="12.6" customHeight="1" x14ac:dyDescent="0.2">
      <c r="B24" s="88"/>
      <c r="C24" s="89"/>
      <c r="D24" s="89"/>
      <c r="E24" s="89"/>
      <c r="F24" s="89"/>
      <c r="G24" s="89"/>
      <c r="H24" s="16"/>
      <c r="I24" s="16"/>
      <c r="J24" s="27"/>
      <c r="K24" s="193"/>
      <c r="L24" s="16"/>
      <c r="M24" s="16"/>
      <c r="N24" s="89"/>
      <c r="O24" s="89"/>
    </row>
    <row r="25" spans="2:16" ht="12.6" customHeight="1" x14ac:dyDescent="0.2">
      <c r="B25" s="106">
        <v>2021</v>
      </c>
      <c r="C25" s="173">
        <v>363.8</v>
      </c>
      <c r="D25" s="173">
        <v>1</v>
      </c>
      <c r="E25" s="68">
        <v>1.27</v>
      </c>
      <c r="F25" s="173">
        <v>98.7</v>
      </c>
      <c r="G25" s="68">
        <v>0.27</v>
      </c>
      <c r="H25" s="194">
        <v>1357.5</v>
      </c>
      <c r="I25" s="19"/>
      <c r="J25" s="35">
        <v>44564</v>
      </c>
      <c r="L25" s="194">
        <v>1371.25</v>
      </c>
      <c r="M25" s="19"/>
      <c r="N25" s="195">
        <f t="shared" ref="N25:N30" si="2">H25/L25</f>
        <v>0.98997265268915224</v>
      </c>
      <c r="O25" s="40">
        <f>N25*L$39</f>
        <v>1061.2506836827713</v>
      </c>
      <c r="P25" s="40"/>
    </row>
    <row r="26" spans="2:16" ht="12.6" customHeight="1" x14ac:dyDescent="0.2">
      <c r="B26" s="99">
        <v>2015</v>
      </c>
      <c r="C26" s="196">
        <v>310.60000000000002</v>
      </c>
      <c r="D26" s="196">
        <v>8.9</v>
      </c>
      <c r="E26" s="69">
        <v>1.2863054187192118</v>
      </c>
      <c r="F26" s="196">
        <v>81.079999999999984</v>
      </c>
      <c r="G26" s="69">
        <v>0.26104314230521564</v>
      </c>
      <c r="H26" s="197">
        <v>862</v>
      </c>
      <c r="I26" s="29"/>
      <c r="J26" s="37">
        <v>42431</v>
      </c>
      <c r="K26" s="29"/>
      <c r="L26" s="197">
        <v>867.75</v>
      </c>
      <c r="M26" s="198"/>
      <c r="N26" s="199">
        <f t="shared" si="2"/>
        <v>0.99337366753097089</v>
      </c>
      <c r="O26" s="30">
        <f t="shared" ref="O26:O30" si="3">N26*L$39</f>
        <v>1064.8965715932009</v>
      </c>
    </row>
    <row r="27" spans="2:16" ht="12.6" customHeight="1" x14ac:dyDescent="0.2">
      <c r="B27" s="106">
        <v>2013</v>
      </c>
      <c r="C27" s="173">
        <v>275.8</v>
      </c>
      <c r="D27" s="173">
        <v>9.6</v>
      </c>
      <c r="E27" s="68">
        <v>1.2685199098422237</v>
      </c>
      <c r="F27" s="173">
        <v>61.879999999999939</v>
      </c>
      <c r="G27" s="68">
        <v>0.22436548223350231</v>
      </c>
      <c r="H27" s="194">
        <v>1234</v>
      </c>
      <c r="I27" s="19"/>
      <c r="J27" s="35">
        <v>41663</v>
      </c>
      <c r="L27" s="194">
        <v>1246.75</v>
      </c>
      <c r="M27" s="19"/>
      <c r="N27" s="195">
        <f t="shared" si="2"/>
        <v>0.98977341086825743</v>
      </c>
      <c r="O27" s="40">
        <f t="shared" si="3"/>
        <v>1061.037096450772</v>
      </c>
    </row>
    <row r="28" spans="2:16" ht="12.6" customHeight="1" x14ac:dyDescent="0.2">
      <c r="B28" s="99">
        <v>2003</v>
      </c>
      <c r="C28" s="196">
        <v>191</v>
      </c>
      <c r="D28" s="196">
        <v>1.8</v>
      </c>
      <c r="E28" s="69">
        <v>1.2105013192612137</v>
      </c>
      <c r="F28" s="196">
        <v>38.39</v>
      </c>
      <c r="G28" s="69">
        <v>0.2009947643979057</v>
      </c>
      <c r="H28" s="197">
        <v>766</v>
      </c>
      <c r="I28" s="29"/>
      <c r="J28" s="37">
        <v>37994</v>
      </c>
      <c r="K28" s="29"/>
      <c r="L28" s="197">
        <v>784</v>
      </c>
      <c r="M28" s="198"/>
      <c r="N28" s="199">
        <f t="shared" si="2"/>
        <v>0.97704081632653061</v>
      </c>
      <c r="O28" s="30">
        <f t="shared" si="3"/>
        <v>1047.3877551020407</v>
      </c>
    </row>
    <row r="29" spans="2:16" ht="12.6" customHeight="1" x14ac:dyDescent="0.2">
      <c r="B29" s="106">
        <v>2008</v>
      </c>
      <c r="C29" s="173">
        <v>221.7</v>
      </c>
      <c r="D29" s="173">
        <v>-8.8000000000000007</v>
      </c>
      <c r="E29" s="68">
        <v>1.1532026143790848</v>
      </c>
      <c r="F29" s="173">
        <v>42.96</v>
      </c>
      <c r="G29" s="68">
        <v>0.19377537212449247</v>
      </c>
      <c r="H29" s="194">
        <v>842</v>
      </c>
      <c r="I29" s="19"/>
      <c r="J29" s="35">
        <v>39874</v>
      </c>
      <c r="L29" s="194">
        <v>1000</v>
      </c>
      <c r="M29" s="19"/>
      <c r="N29" s="195">
        <f t="shared" si="2"/>
        <v>0.84199999999999997</v>
      </c>
      <c r="O29" s="40">
        <f t="shared" si="3"/>
        <v>902.62400000000002</v>
      </c>
    </row>
    <row r="30" spans="2:16" ht="12.6" customHeight="1" x14ac:dyDescent="0.2">
      <c r="B30" s="99">
        <v>1996</v>
      </c>
      <c r="C30" s="196">
        <v>135.30000000000001</v>
      </c>
      <c r="D30" s="196">
        <v>4.2000000000000171</v>
      </c>
      <c r="E30" s="69">
        <v>1.1419527078565983</v>
      </c>
      <c r="F30" s="196">
        <v>14.41</v>
      </c>
      <c r="G30" s="69">
        <v>0.10650406504065039</v>
      </c>
      <c r="H30" s="197">
        <v>687.5</v>
      </c>
      <c r="I30" s="29"/>
      <c r="J30" s="37">
        <v>35432</v>
      </c>
      <c r="K30" s="29"/>
      <c r="L30" s="197">
        <v>697.25</v>
      </c>
      <c r="M30" s="198"/>
      <c r="N30" s="199">
        <f t="shared" si="2"/>
        <v>0.98601649336679809</v>
      </c>
      <c r="O30" s="30">
        <f t="shared" si="3"/>
        <v>1057.0096808892076</v>
      </c>
    </row>
    <row r="31" spans="2:16" ht="12.6" customHeight="1" x14ac:dyDescent="0.2">
      <c r="J31" s="147"/>
      <c r="N31" s="200"/>
      <c r="O31" s="40"/>
    </row>
    <row r="32" spans="2:16" ht="12.6" customHeight="1" x14ac:dyDescent="0.2">
      <c r="J32" s="147"/>
      <c r="N32" s="200"/>
      <c r="O32" s="40"/>
    </row>
    <row r="33" spans="2:15" s="5" customFormat="1" ht="12.6" customHeight="1" x14ac:dyDescent="0.2">
      <c r="B33" s="5" t="s">
        <v>22</v>
      </c>
      <c r="G33" s="201">
        <f>MEDIAN(G25:G30)</f>
        <v>0.21268012331570402</v>
      </c>
      <c r="J33" s="202"/>
      <c r="K33" s="66"/>
      <c r="L33" s="51">
        <f>MEDIAN(L25:L30)</f>
        <v>933.875</v>
      </c>
      <c r="N33" s="201">
        <f>MEDIAN(N25:N30)</f>
        <v>0.98789495211752776</v>
      </c>
      <c r="O33" s="203">
        <f>MEDIAN(O25:O30)</f>
        <v>1059.0233886699898</v>
      </c>
    </row>
    <row r="34" spans="2:15" ht="12.6" customHeight="1" x14ac:dyDescent="0.2">
      <c r="J34" s="147"/>
      <c r="N34" s="200"/>
      <c r="O34" s="40"/>
    </row>
    <row r="35" spans="2:15" ht="12.6" customHeight="1" x14ac:dyDescent="0.2">
      <c r="H35" s="54" t="s">
        <v>108</v>
      </c>
      <c r="J35" s="147"/>
      <c r="N35" s="200"/>
      <c r="O35" s="40"/>
    </row>
    <row r="36" spans="2:15" ht="12.6" customHeight="1" x14ac:dyDescent="0.2">
      <c r="J36" s="147"/>
      <c r="N36" s="200"/>
      <c r="O36" s="40"/>
    </row>
    <row r="37" spans="2:15" ht="12.6" customHeight="1" x14ac:dyDescent="0.2">
      <c r="B37" s="99">
        <v>2018</v>
      </c>
      <c r="C37" s="196">
        <v>347.5</v>
      </c>
      <c r="D37" s="196">
        <v>8.4</v>
      </c>
      <c r="E37" s="69">
        <v>1.33</v>
      </c>
      <c r="F37" s="196">
        <v>113.7</v>
      </c>
      <c r="G37" s="69">
        <v>0.32490000000000002</v>
      </c>
      <c r="H37" s="197">
        <v>791</v>
      </c>
      <c r="I37" s="29"/>
      <c r="J37" s="37">
        <v>43598</v>
      </c>
      <c r="K37" s="29"/>
      <c r="L37" s="197">
        <v>937.25</v>
      </c>
      <c r="M37" s="29"/>
      <c r="N37" s="199">
        <f t="shared" ref="N37:N60" si="4">H37/L37</f>
        <v>0.84395838890370767</v>
      </c>
      <c r="O37" s="30">
        <f>N37*$L$39</f>
        <v>904.72339290477464</v>
      </c>
    </row>
    <row r="38" spans="2:15" s="5" customFormat="1" ht="12.6" customHeight="1" x14ac:dyDescent="0.2">
      <c r="B38" s="106" t="s">
        <v>109</v>
      </c>
      <c r="C38" s="173">
        <v>413.51</v>
      </c>
      <c r="D38" s="173">
        <v>29.87</v>
      </c>
      <c r="E38" s="68">
        <v>1.4059999999999999</v>
      </c>
      <c r="F38" s="173">
        <v>123.34</v>
      </c>
      <c r="G38" s="68">
        <v>0.29799999999999999</v>
      </c>
      <c r="H38" s="194">
        <v>985</v>
      </c>
      <c r="I38" s="19"/>
      <c r="J38" s="35">
        <v>45754</v>
      </c>
      <c r="K38" s="19"/>
      <c r="L38" s="194">
        <v>1037.75</v>
      </c>
      <c r="M38" s="19"/>
      <c r="N38" s="195">
        <f t="shared" si="4"/>
        <v>0.94916887496988678</v>
      </c>
      <c r="O38" s="40">
        <f t="shared" ref="O38:O60" si="5">N38*$L$39</f>
        <v>1017.5090339677187</v>
      </c>
    </row>
    <row r="39" spans="2:15" s="5" customFormat="1" ht="12.6" customHeight="1" x14ac:dyDescent="0.2">
      <c r="B39" s="204">
        <v>2025</v>
      </c>
      <c r="C39" s="205">
        <v>424.2</v>
      </c>
      <c r="D39" s="205">
        <v>10.8</v>
      </c>
      <c r="E39" s="71">
        <v>1.3280000000000001</v>
      </c>
      <c r="F39" s="205">
        <v>125.3</v>
      </c>
      <c r="G39" s="71">
        <v>0.29499999999999998</v>
      </c>
      <c r="H39" s="206">
        <v>975</v>
      </c>
      <c r="I39" s="55" t="s">
        <v>24</v>
      </c>
      <c r="J39" s="60"/>
      <c r="K39" s="55"/>
      <c r="L39" s="206">
        <v>1072</v>
      </c>
      <c r="M39" s="55"/>
      <c r="N39" s="207">
        <f t="shared" si="4"/>
        <v>0.90951492537313428</v>
      </c>
      <c r="O39" s="56">
        <f t="shared" si="5"/>
        <v>975</v>
      </c>
    </row>
    <row r="40" spans="2:15" ht="12.6" customHeight="1" x14ac:dyDescent="0.2">
      <c r="B40" s="106" t="s">
        <v>77</v>
      </c>
      <c r="C40" s="173">
        <v>383.55</v>
      </c>
      <c r="D40" s="173">
        <v>17.77</v>
      </c>
      <c r="E40" s="68">
        <v>1.3535999999999999</v>
      </c>
      <c r="F40" s="173">
        <v>112.55</v>
      </c>
      <c r="G40" s="68">
        <v>0.2908</v>
      </c>
      <c r="H40" s="194">
        <v>1135.75</v>
      </c>
      <c r="I40" s="19"/>
      <c r="J40" s="35">
        <v>45483</v>
      </c>
      <c r="L40" s="194">
        <v>1286.5</v>
      </c>
      <c r="M40" s="19"/>
      <c r="N40" s="195">
        <f t="shared" si="4"/>
        <v>0.88282160901671203</v>
      </c>
      <c r="O40" s="40">
        <f t="shared" si="5"/>
        <v>946.38476486591526</v>
      </c>
    </row>
    <row r="41" spans="2:15" ht="12.6" customHeight="1" x14ac:dyDescent="0.2">
      <c r="B41" s="99">
        <v>2017</v>
      </c>
      <c r="C41" s="196">
        <v>339.2</v>
      </c>
      <c r="D41" s="196">
        <v>3.7</v>
      </c>
      <c r="E41" s="69">
        <v>1.3111310592459606</v>
      </c>
      <c r="F41" s="196">
        <v>99.02</v>
      </c>
      <c r="G41" s="69">
        <v>0.29142351900972591</v>
      </c>
      <c r="H41" s="197">
        <v>814</v>
      </c>
      <c r="I41" s="29"/>
      <c r="J41" s="37">
        <v>43284</v>
      </c>
      <c r="K41" s="29"/>
      <c r="L41" s="197">
        <v>986</v>
      </c>
      <c r="M41" s="198"/>
      <c r="N41" s="199">
        <f t="shared" si="4"/>
        <v>0.82555780933062883</v>
      </c>
      <c r="O41" s="30">
        <f t="shared" si="5"/>
        <v>884.99797160243406</v>
      </c>
    </row>
    <row r="42" spans="2:15" ht="12.6" customHeight="1" x14ac:dyDescent="0.2">
      <c r="B42" s="106">
        <v>2016</v>
      </c>
      <c r="C42" s="173">
        <v>339.2</v>
      </c>
      <c r="D42" s="173">
        <v>22.3</v>
      </c>
      <c r="E42" s="68">
        <v>1.3856406954282035</v>
      </c>
      <c r="F42" s="173">
        <v>96.18</v>
      </c>
      <c r="G42" s="68">
        <v>0.2877917414721724</v>
      </c>
      <c r="H42" s="194">
        <v>900.25</v>
      </c>
      <c r="I42" s="19"/>
      <c r="J42" s="35">
        <v>42909</v>
      </c>
      <c r="L42" s="194">
        <v>1010.25</v>
      </c>
      <c r="M42" s="19"/>
      <c r="N42" s="195">
        <f t="shared" si="4"/>
        <v>0.89111606038109381</v>
      </c>
      <c r="O42" s="40">
        <f t="shared" si="5"/>
        <v>955.27641672853258</v>
      </c>
    </row>
    <row r="43" spans="2:15" ht="12.6" customHeight="1" x14ac:dyDescent="0.2">
      <c r="B43" s="99">
        <v>2010</v>
      </c>
      <c r="C43" s="196">
        <v>254.5</v>
      </c>
      <c r="D43" s="196">
        <v>11.4</v>
      </c>
      <c r="E43" s="69">
        <v>1.3353763883175649</v>
      </c>
      <c r="F43" s="196">
        <v>70.13</v>
      </c>
      <c r="G43" s="69">
        <v>0.27555992141453828</v>
      </c>
      <c r="H43" s="197">
        <v>1278</v>
      </c>
      <c r="I43" s="29"/>
      <c r="J43" s="37">
        <v>40617</v>
      </c>
      <c r="K43" s="29"/>
      <c r="L43" s="197">
        <v>1390.25</v>
      </c>
      <c r="M43" s="198"/>
      <c r="N43" s="199">
        <f t="shared" si="4"/>
        <v>0.91925912605646465</v>
      </c>
      <c r="O43" s="30">
        <f t="shared" si="5"/>
        <v>985.4457831325301</v>
      </c>
    </row>
    <row r="44" spans="2:15" ht="12.6" customHeight="1" x14ac:dyDescent="0.2">
      <c r="B44" s="106">
        <v>2006</v>
      </c>
      <c r="C44" s="173">
        <v>226.7</v>
      </c>
      <c r="D44" s="173">
        <v>11</v>
      </c>
      <c r="E44" s="68">
        <v>1.3437644877144184</v>
      </c>
      <c r="F44" s="173">
        <v>63.15</v>
      </c>
      <c r="G44" s="68">
        <v>0.27856197617997369</v>
      </c>
      <c r="H44" s="194">
        <v>685</v>
      </c>
      <c r="I44" s="19"/>
      <c r="J44" s="35">
        <v>39092</v>
      </c>
      <c r="L44" s="194">
        <v>720.5</v>
      </c>
      <c r="M44" s="19"/>
      <c r="N44" s="195">
        <f t="shared" si="4"/>
        <v>0.95072866065232475</v>
      </c>
      <c r="O44" s="40">
        <f t="shared" si="5"/>
        <v>1019.1811242192921</v>
      </c>
    </row>
    <row r="45" spans="2:15" s="5" customFormat="1" ht="12.6" customHeight="1" x14ac:dyDescent="0.2">
      <c r="B45" s="99">
        <v>2022</v>
      </c>
      <c r="C45" s="196">
        <v>364.13</v>
      </c>
      <c r="D45" s="196">
        <v>0.16</v>
      </c>
      <c r="E45" s="69">
        <v>1.2979000000000001</v>
      </c>
      <c r="F45" s="196">
        <v>101.92</v>
      </c>
      <c r="G45" s="69">
        <v>0.27989999999999998</v>
      </c>
      <c r="H45" s="197">
        <v>1270.75</v>
      </c>
      <c r="I45" s="29"/>
      <c r="J45" s="37">
        <v>45077</v>
      </c>
      <c r="K45" s="29"/>
      <c r="L45" s="197">
        <v>1502.75</v>
      </c>
      <c r="M45" s="29"/>
      <c r="N45" s="199">
        <f t="shared" si="4"/>
        <v>0.84561636998835465</v>
      </c>
      <c r="O45" s="30">
        <f t="shared" si="5"/>
        <v>906.50074862751615</v>
      </c>
    </row>
    <row r="46" spans="2:15" ht="12.6" customHeight="1" x14ac:dyDescent="0.2">
      <c r="B46" s="106">
        <v>2020</v>
      </c>
      <c r="C46" s="173">
        <v>361.4</v>
      </c>
      <c r="D46" s="173">
        <v>3</v>
      </c>
      <c r="E46" s="68">
        <v>1.2875000000000001</v>
      </c>
      <c r="F46" s="173">
        <v>100.4</v>
      </c>
      <c r="G46" s="68">
        <v>0.28000000000000003</v>
      </c>
      <c r="H46" s="194">
        <v>1282.25</v>
      </c>
      <c r="I46" s="19"/>
      <c r="J46" s="35">
        <v>44221</v>
      </c>
      <c r="L46" s="194">
        <v>1303.75</v>
      </c>
      <c r="M46" s="125"/>
      <c r="N46" s="195">
        <f t="shared" si="4"/>
        <v>0.9835091083413231</v>
      </c>
      <c r="O46" s="40">
        <f t="shared" si="5"/>
        <v>1054.3217641418983</v>
      </c>
    </row>
    <row r="47" spans="2:15" ht="12.6" customHeight="1" x14ac:dyDescent="0.2">
      <c r="B47" s="99">
        <v>2019</v>
      </c>
      <c r="C47" s="196">
        <v>357.5</v>
      </c>
      <c r="D47" s="196">
        <v>10</v>
      </c>
      <c r="E47" s="69">
        <v>1.31</v>
      </c>
      <c r="F47" s="196">
        <v>96.5</v>
      </c>
      <c r="G47" s="69">
        <v>0.27</v>
      </c>
      <c r="H47" s="197">
        <v>818.5</v>
      </c>
      <c r="I47" s="29"/>
      <c r="J47" s="37">
        <v>43942</v>
      </c>
      <c r="K47" s="29"/>
      <c r="L47" s="197">
        <v>981</v>
      </c>
      <c r="M47" s="198"/>
      <c r="N47" s="199">
        <f t="shared" si="4"/>
        <v>0.83435270132517836</v>
      </c>
      <c r="O47" s="30">
        <f t="shared" si="5"/>
        <v>894.42609582059117</v>
      </c>
    </row>
    <row r="48" spans="2:15" ht="12.6" customHeight="1" x14ac:dyDescent="0.2">
      <c r="B48" s="106">
        <v>2014</v>
      </c>
      <c r="C48" s="173">
        <v>304.5</v>
      </c>
      <c r="D48" s="173">
        <v>28.7</v>
      </c>
      <c r="E48" s="68">
        <v>1.3840390879478828</v>
      </c>
      <c r="F48" s="173">
        <v>77.910000000000025</v>
      </c>
      <c r="G48" s="68">
        <v>0.25586206896551733</v>
      </c>
      <c r="H48" s="194">
        <v>920.5</v>
      </c>
      <c r="I48" s="19"/>
      <c r="J48" s="35">
        <v>42150</v>
      </c>
      <c r="L48" s="194">
        <v>1020.5</v>
      </c>
      <c r="M48" s="19"/>
      <c r="N48" s="195">
        <f t="shared" si="4"/>
        <v>0.90200881920627141</v>
      </c>
      <c r="O48" s="40">
        <f t="shared" si="5"/>
        <v>966.95345418912291</v>
      </c>
    </row>
    <row r="49" spans="2:15" ht="12.6" customHeight="1" x14ac:dyDescent="0.2">
      <c r="B49" s="99">
        <v>2009</v>
      </c>
      <c r="C49" s="196">
        <v>243.1</v>
      </c>
      <c r="D49" s="196">
        <v>10.5</v>
      </c>
      <c r="E49" s="69">
        <v>1.3686964366260714</v>
      </c>
      <c r="F49" s="196">
        <v>60.34</v>
      </c>
      <c r="G49" s="69">
        <v>0.24821061291649529</v>
      </c>
      <c r="H49" s="197">
        <v>920</v>
      </c>
      <c r="I49" s="29"/>
      <c r="J49" s="37">
        <v>40213</v>
      </c>
      <c r="K49" s="29"/>
      <c r="L49" s="197">
        <v>1067</v>
      </c>
      <c r="M49" s="198"/>
      <c r="N49" s="199">
        <f t="shared" si="4"/>
        <v>0.86223055295220241</v>
      </c>
      <c r="O49" s="30">
        <f t="shared" si="5"/>
        <v>924.311152764761</v>
      </c>
    </row>
    <row r="50" spans="2:15" ht="12.6" customHeight="1" x14ac:dyDescent="0.2">
      <c r="B50" s="106">
        <v>2005</v>
      </c>
      <c r="C50" s="173">
        <v>215.7</v>
      </c>
      <c r="D50" s="173">
        <v>10.199999999999999</v>
      </c>
      <c r="E50" s="68">
        <v>1.3125</v>
      </c>
      <c r="F50" s="173">
        <v>54.15</v>
      </c>
      <c r="G50" s="68">
        <v>0.25104311543810864</v>
      </c>
      <c r="H50" s="194">
        <v>566.5</v>
      </c>
      <c r="I50" s="19"/>
      <c r="J50" s="35">
        <v>38894</v>
      </c>
      <c r="L50" s="194">
        <v>646.5</v>
      </c>
      <c r="M50" s="19"/>
      <c r="N50" s="195">
        <f t="shared" si="4"/>
        <v>0.87625676720804335</v>
      </c>
      <c r="O50" s="40">
        <f t="shared" si="5"/>
        <v>939.34725444702246</v>
      </c>
    </row>
    <row r="51" spans="2:15" ht="12.6" customHeight="1" x14ac:dyDescent="0.2">
      <c r="B51" s="99">
        <v>2007</v>
      </c>
      <c r="C51" s="196">
        <v>229.5</v>
      </c>
      <c r="D51" s="196">
        <v>3.1</v>
      </c>
      <c r="E51" s="69">
        <v>1.2444640494044994</v>
      </c>
      <c r="F51" s="196">
        <v>52.62</v>
      </c>
      <c r="G51" s="69">
        <v>0.22928104575163399</v>
      </c>
      <c r="H51" s="197">
        <v>1135</v>
      </c>
      <c r="I51" s="29"/>
      <c r="J51" s="37">
        <v>39539</v>
      </c>
      <c r="K51" s="29"/>
      <c r="L51" s="197">
        <v>1272</v>
      </c>
      <c r="M51" s="198"/>
      <c r="N51" s="199">
        <f t="shared" si="4"/>
        <v>0.89229559748427678</v>
      </c>
      <c r="O51" s="30">
        <f t="shared" si="5"/>
        <v>956.54088050314476</v>
      </c>
    </row>
    <row r="52" spans="2:15" ht="12.6" customHeight="1" x14ac:dyDescent="0.2">
      <c r="B52" s="106">
        <v>2012</v>
      </c>
      <c r="C52" s="173">
        <v>266.2</v>
      </c>
      <c r="D52" s="173">
        <v>9.1</v>
      </c>
      <c r="E52" s="68">
        <v>1.2467804499612101</v>
      </c>
      <c r="F52" s="173">
        <v>55.22</v>
      </c>
      <c r="G52" s="68">
        <v>0.20743801652892552</v>
      </c>
      <c r="H52" s="194">
        <v>1336.5</v>
      </c>
      <c r="I52" s="19"/>
      <c r="J52" s="35">
        <v>41369</v>
      </c>
      <c r="L52" s="194">
        <v>1382</v>
      </c>
      <c r="M52" s="19"/>
      <c r="N52" s="195">
        <f t="shared" si="4"/>
        <v>0.96707670043415339</v>
      </c>
      <c r="O52" s="40">
        <f t="shared" si="5"/>
        <v>1036.7062228654124</v>
      </c>
    </row>
    <row r="53" spans="2:15" ht="12.6" customHeight="1" x14ac:dyDescent="0.2">
      <c r="B53" s="99">
        <v>1990</v>
      </c>
      <c r="C53" s="196">
        <v>104.2</v>
      </c>
      <c r="D53" s="196">
        <v>-0.5</v>
      </c>
      <c r="E53" s="69">
        <v>1.1920725883476602</v>
      </c>
      <c r="F53" s="196">
        <v>20.61</v>
      </c>
      <c r="G53" s="69">
        <v>0.19779270633397311</v>
      </c>
      <c r="H53" s="197">
        <v>518.5</v>
      </c>
      <c r="I53" s="29"/>
      <c r="J53" s="37">
        <v>33429</v>
      </c>
      <c r="K53" s="29"/>
      <c r="L53" s="197">
        <v>594.75</v>
      </c>
      <c r="M53" s="198"/>
      <c r="N53" s="199">
        <f t="shared" si="4"/>
        <v>0.87179487179487181</v>
      </c>
      <c r="O53" s="30">
        <f t="shared" si="5"/>
        <v>934.56410256410254</v>
      </c>
    </row>
    <row r="54" spans="2:15" ht="12.6" customHeight="1" x14ac:dyDescent="0.2">
      <c r="B54" s="106">
        <v>2000</v>
      </c>
      <c r="C54" s="173">
        <v>171.8</v>
      </c>
      <c r="D54" s="173">
        <v>12.5</v>
      </c>
      <c r="E54" s="68">
        <v>1.2781555834378922</v>
      </c>
      <c r="F54" s="173">
        <v>31.938000000000017</v>
      </c>
      <c r="G54" s="68">
        <v>0.1859022118742725</v>
      </c>
      <c r="H54" s="194">
        <v>422</v>
      </c>
      <c r="I54" s="19"/>
      <c r="J54" s="35">
        <v>37006</v>
      </c>
      <c r="L54" s="194">
        <v>518.25</v>
      </c>
      <c r="M54" s="19"/>
      <c r="N54" s="195">
        <f t="shared" si="4"/>
        <v>0.81427882296189102</v>
      </c>
      <c r="O54" s="40">
        <f t="shared" si="5"/>
        <v>872.90689821514718</v>
      </c>
    </row>
    <row r="55" spans="2:15" ht="12.6" customHeight="1" x14ac:dyDescent="0.2">
      <c r="B55" s="99">
        <v>1999</v>
      </c>
      <c r="C55" s="196">
        <v>159.4</v>
      </c>
      <c r="D55" s="196">
        <v>1.9000000000000057</v>
      </c>
      <c r="E55" s="69">
        <v>1.1886349206349209</v>
      </c>
      <c r="F55" s="196">
        <v>27.81</v>
      </c>
      <c r="G55" s="69">
        <v>0.17446675031367628</v>
      </c>
      <c r="H55" s="197">
        <v>463</v>
      </c>
      <c r="I55" s="29"/>
      <c r="J55" s="37">
        <v>36717</v>
      </c>
      <c r="K55" s="29"/>
      <c r="L55" s="197">
        <v>479</v>
      </c>
      <c r="M55" s="198"/>
      <c r="N55" s="199">
        <f t="shared" si="4"/>
        <v>0.96659707724425892</v>
      </c>
      <c r="O55" s="30">
        <f t="shared" si="5"/>
        <v>1036.1920668058456</v>
      </c>
    </row>
    <row r="56" spans="2:15" ht="12.6" customHeight="1" x14ac:dyDescent="0.2">
      <c r="B56" s="106">
        <v>1998</v>
      </c>
      <c r="C56" s="173">
        <v>157.5</v>
      </c>
      <c r="D56" s="173">
        <v>10</v>
      </c>
      <c r="E56" s="68">
        <v>1.252949152542373</v>
      </c>
      <c r="F56" s="173">
        <v>27.31</v>
      </c>
      <c r="G56" s="68">
        <v>0.17339682539682538</v>
      </c>
      <c r="H56" s="194">
        <v>401.5</v>
      </c>
      <c r="I56" s="19"/>
      <c r="J56" s="35">
        <v>36350</v>
      </c>
      <c r="L56" s="194">
        <v>557</v>
      </c>
      <c r="M56" s="19"/>
      <c r="N56" s="195">
        <f t="shared" si="4"/>
        <v>0.72082585278276479</v>
      </c>
      <c r="O56" s="40">
        <f t="shared" si="5"/>
        <v>772.72531418312383</v>
      </c>
    </row>
    <row r="57" spans="2:15" ht="12.6" customHeight="1" x14ac:dyDescent="0.2">
      <c r="B57" s="99" t="s">
        <v>59</v>
      </c>
      <c r="C57" s="196">
        <v>147.5</v>
      </c>
      <c r="D57" s="196">
        <v>12.2</v>
      </c>
      <c r="E57" s="69">
        <v>1.275018477457502</v>
      </c>
      <c r="F57" s="196">
        <v>25.01</v>
      </c>
      <c r="G57" s="69">
        <v>0.16955932203389831</v>
      </c>
      <c r="H57" s="197">
        <v>606.5</v>
      </c>
      <c r="I57" s="29"/>
      <c r="J57" s="37">
        <v>35955</v>
      </c>
      <c r="K57" s="29"/>
      <c r="L57" s="197">
        <v>678.75</v>
      </c>
      <c r="M57" s="198"/>
      <c r="N57" s="199">
        <f t="shared" si="4"/>
        <v>0.89355432780847144</v>
      </c>
      <c r="O57" s="30">
        <f t="shared" si="5"/>
        <v>957.89023941068137</v>
      </c>
    </row>
    <row r="58" spans="2:15" ht="12.6" customHeight="1" x14ac:dyDescent="0.2">
      <c r="B58" s="106">
        <v>1991</v>
      </c>
      <c r="C58" s="173">
        <v>109.6</v>
      </c>
      <c r="D58" s="173">
        <v>5.3999999999999915</v>
      </c>
      <c r="E58" s="68">
        <v>1.2285028790786952</v>
      </c>
      <c r="F58" s="173">
        <v>18.410000000000053</v>
      </c>
      <c r="G58" s="68">
        <v>0.16797445255474502</v>
      </c>
      <c r="H58" s="194">
        <v>554.5</v>
      </c>
      <c r="I58" s="19"/>
      <c r="J58" s="35">
        <v>33805</v>
      </c>
      <c r="L58" s="194">
        <v>564.75</v>
      </c>
      <c r="M58" s="19"/>
      <c r="N58" s="195">
        <f t="shared" si="4"/>
        <v>0.98185037627268701</v>
      </c>
      <c r="O58" s="40">
        <f t="shared" si="5"/>
        <v>1052.5436033643205</v>
      </c>
    </row>
    <row r="59" spans="2:15" ht="12.6" customHeight="1" x14ac:dyDescent="0.2">
      <c r="B59" s="99">
        <v>1993</v>
      </c>
      <c r="C59" s="196">
        <v>120.6</v>
      </c>
      <c r="D59" s="196">
        <v>5.0999999999999943</v>
      </c>
      <c r="E59" s="69">
        <v>1.1948917748917753</v>
      </c>
      <c r="F59" s="196">
        <v>17.410000000000053</v>
      </c>
      <c r="G59" s="69">
        <v>0.14436152570480973</v>
      </c>
      <c r="H59" s="197">
        <v>592.5</v>
      </c>
      <c r="I59" s="29"/>
      <c r="J59" s="37">
        <v>34535</v>
      </c>
      <c r="K59" s="29"/>
      <c r="L59" s="197">
        <v>713.75</v>
      </c>
      <c r="M59" s="198"/>
      <c r="N59" s="199">
        <f t="shared" si="4"/>
        <v>0.83012259194395799</v>
      </c>
      <c r="O59" s="30">
        <f t="shared" si="5"/>
        <v>889.89141856392291</v>
      </c>
    </row>
    <row r="60" spans="2:15" ht="12.6" customHeight="1" x14ac:dyDescent="0.2">
      <c r="B60" s="106">
        <v>1995</v>
      </c>
      <c r="C60" s="173">
        <v>131.1</v>
      </c>
      <c r="D60" s="173">
        <v>-0.30000000000001137</v>
      </c>
      <c r="E60" s="68">
        <v>1.1309741248097416</v>
      </c>
      <c r="F60" s="173">
        <v>17.510000000000002</v>
      </c>
      <c r="G60" s="68">
        <v>0.13356216628527842</v>
      </c>
      <c r="H60" s="194">
        <v>721.5</v>
      </c>
      <c r="I60" s="19"/>
      <c r="J60" s="35">
        <v>35144</v>
      </c>
      <c r="L60" s="194">
        <v>762.25</v>
      </c>
      <c r="M60" s="19"/>
      <c r="N60" s="195">
        <f t="shared" si="4"/>
        <v>0.94653984913086253</v>
      </c>
      <c r="O60" s="40">
        <f t="shared" si="5"/>
        <v>1014.6907182682846</v>
      </c>
    </row>
    <row r="62" spans="2:15" x14ac:dyDescent="0.2">
      <c r="B62" s="54"/>
      <c r="C62" s="82"/>
      <c r="D62" s="82"/>
      <c r="E62" s="26"/>
      <c r="F62" s="82"/>
      <c r="G62" s="26"/>
      <c r="H62" s="28"/>
      <c r="I62" s="2"/>
      <c r="J62" s="27"/>
      <c r="K62" s="208"/>
      <c r="L62" s="28"/>
      <c r="M62" s="2"/>
      <c r="N62" s="209"/>
      <c r="O62" s="28"/>
    </row>
    <row r="63" spans="2:15" x14ac:dyDescent="0.2">
      <c r="B63" s="5" t="s">
        <v>22</v>
      </c>
      <c r="C63" s="5"/>
      <c r="D63" s="5"/>
      <c r="E63" s="5"/>
      <c r="F63" s="201">
        <f>MEDIAN(G37:G60)</f>
        <v>0.25345259220181299</v>
      </c>
      <c r="H63" s="5"/>
      <c r="I63" s="5"/>
      <c r="J63" s="202"/>
      <c r="K63" s="66"/>
      <c r="L63" s="51">
        <f>MEDIAN(L37:L60)</f>
        <v>983.5</v>
      </c>
      <c r="M63" s="5"/>
      <c r="N63" s="201">
        <f>MEDIAN(N37:N60)</f>
        <v>0.89170582893268535</v>
      </c>
      <c r="O63" s="203">
        <f>MEDIAN(O37:O60)</f>
        <v>955.90864861583873</v>
      </c>
    </row>
    <row r="64" spans="2:15" x14ac:dyDescent="0.2">
      <c r="B64" s="54"/>
      <c r="C64" s="82"/>
      <c r="D64" s="82"/>
      <c r="E64" s="26"/>
      <c r="F64" s="82"/>
      <c r="G64" s="26"/>
      <c r="H64" s="63"/>
      <c r="I64" s="1"/>
      <c r="J64" s="27"/>
      <c r="K64" s="1"/>
      <c r="L64" s="63"/>
      <c r="M64" s="12"/>
      <c r="N64" s="25"/>
      <c r="O64" s="28"/>
    </row>
    <row r="65" spans="2:15" x14ac:dyDescent="0.2">
      <c r="B65" s="1"/>
      <c r="C65" s="2"/>
      <c r="D65" s="2"/>
      <c r="E65" s="26"/>
      <c r="F65" s="2"/>
      <c r="G65" s="82"/>
      <c r="H65" s="28"/>
      <c r="I65" s="28"/>
      <c r="J65" s="27"/>
      <c r="K65" s="208"/>
      <c r="L65" s="28"/>
      <c r="M65" s="28"/>
      <c r="N65" s="25"/>
      <c r="O65" s="28"/>
    </row>
    <row r="66" spans="2:15" x14ac:dyDescent="0.2">
      <c r="B66" s="1"/>
      <c r="C66" s="82"/>
      <c r="D66" s="82"/>
      <c r="E66" s="26"/>
      <c r="F66" s="82"/>
      <c r="H66" s="28"/>
      <c r="I66" s="28"/>
      <c r="J66" s="27"/>
      <c r="K66" s="1"/>
      <c r="L66" s="28"/>
      <c r="M66" s="28"/>
      <c r="N66" s="25"/>
      <c r="O66" s="28"/>
    </row>
    <row r="67" spans="2:15" x14ac:dyDescent="0.2">
      <c r="J67" s="147"/>
    </row>
    <row r="68" spans="2:15" x14ac:dyDescent="0.2">
      <c r="J68" s="147"/>
    </row>
    <row r="69" spans="2:15" x14ac:dyDescent="0.2">
      <c r="G69" s="173"/>
      <c r="H69" s="21"/>
      <c r="I69" s="21"/>
      <c r="J69" s="147"/>
      <c r="L69" s="21"/>
      <c r="M69" s="21"/>
      <c r="N69" s="40"/>
      <c r="O69" s="21"/>
    </row>
    <row r="70" spans="2:15" x14ac:dyDescent="0.2">
      <c r="G70" s="173"/>
      <c r="H70" s="21"/>
      <c r="I70" s="21"/>
      <c r="J70" s="147"/>
      <c r="L70" s="21"/>
      <c r="M70" s="21"/>
      <c r="N70" s="40"/>
      <c r="O70" s="21"/>
    </row>
    <row r="71" spans="2:15" x14ac:dyDescent="0.2">
      <c r="G71" s="173"/>
      <c r="H71" s="21"/>
      <c r="I71" s="21"/>
      <c r="J71" s="147"/>
      <c r="L71" s="21"/>
      <c r="M71" s="21"/>
      <c r="N71" s="40"/>
      <c r="O71" s="21"/>
    </row>
    <row r="72" spans="2:15" x14ac:dyDescent="0.2">
      <c r="G72" s="173"/>
      <c r="H72" s="21"/>
      <c r="I72" s="21"/>
      <c r="J72" s="147"/>
      <c r="L72" s="21"/>
      <c r="M72" s="21"/>
      <c r="N72" s="40"/>
      <c r="O72" s="21"/>
    </row>
    <row r="73" spans="2:15" x14ac:dyDescent="0.2">
      <c r="G73" s="173"/>
      <c r="H73" s="21"/>
      <c r="I73" s="21"/>
      <c r="J73" s="147"/>
      <c r="L73" s="21"/>
      <c r="M73" s="21"/>
      <c r="N73" s="40"/>
      <c r="O73" s="21"/>
    </row>
    <row r="74" spans="2:15" x14ac:dyDescent="0.2">
      <c r="G74" s="173"/>
      <c r="J74" s="147"/>
      <c r="L74" s="21"/>
      <c r="M74" s="21"/>
    </row>
    <row r="75" spans="2:15" x14ac:dyDescent="0.2">
      <c r="G75" s="173"/>
      <c r="H75" s="21"/>
      <c r="I75" s="21"/>
      <c r="J75" s="147"/>
      <c r="L75" s="21"/>
      <c r="M75" s="21"/>
      <c r="N75" s="40"/>
      <c r="O75" s="21"/>
    </row>
    <row r="76" spans="2:15" x14ac:dyDescent="0.2">
      <c r="G76" s="173"/>
      <c r="H76" s="21"/>
      <c r="I76" s="21"/>
      <c r="J76" s="147"/>
      <c r="L76" s="21"/>
      <c r="M76" s="21"/>
      <c r="N76" s="40"/>
      <c r="O76" s="21"/>
    </row>
    <row r="77" spans="2:15" x14ac:dyDescent="0.2">
      <c r="G77" s="173"/>
      <c r="H77" s="21"/>
      <c r="I77" s="21"/>
      <c r="J77" s="147"/>
      <c r="L77" s="21"/>
      <c r="M77" s="21"/>
      <c r="N77" s="40"/>
      <c r="O77" s="21"/>
    </row>
    <row r="78" spans="2:15" x14ac:dyDescent="0.2">
      <c r="G78" s="173"/>
      <c r="H78" s="21"/>
      <c r="I78" s="21"/>
      <c r="L78" s="21"/>
      <c r="M78" s="21"/>
      <c r="N78" s="40"/>
      <c r="O78" s="21"/>
    </row>
    <row r="80" spans="2:15" x14ac:dyDescent="0.2">
      <c r="G80" s="173"/>
      <c r="H80" s="21"/>
      <c r="I80" s="21"/>
      <c r="L80" s="21"/>
      <c r="M80" s="21"/>
      <c r="N80" s="40"/>
      <c r="O80" s="21"/>
    </row>
    <row r="81" spans="7:15" x14ac:dyDescent="0.2">
      <c r="G81" s="173"/>
      <c r="H81" s="21"/>
      <c r="I81" s="21"/>
      <c r="L81" s="21"/>
      <c r="M81" s="21"/>
      <c r="N81" s="40"/>
      <c r="O81" s="21"/>
    </row>
    <row r="82" spans="7:15" x14ac:dyDescent="0.2">
      <c r="G82" s="173"/>
      <c r="H82" s="21"/>
      <c r="I82" s="21"/>
      <c r="L82" s="21"/>
      <c r="M82" s="21"/>
      <c r="N82" s="40"/>
      <c r="O82" s="21"/>
    </row>
    <row r="83" spans="7:15" x14ac:dyDescent="0.2">
      <c r="G83" s="173"/>
      <c r="H83" s="21"/>
      <c r="I83" s="21"/>
      <c r="L83" s="21"/>
      <c r="M83" s="21"/>
      <c r="N83" s="40"/>
      <c r="O83" s="21"/>
    </row>
    <row r="84" spans="7:15" x14ac:dyDescent="0.2">
      <c r="G84" s="173"/>
      <c r="H84" s="21"/>
      <c r="I84" s="21"/>
      <c r="L84" s="21"/>
      <c r="M84" s="21"/>
      <c r="N84" s="40"/>
      <c r="O84" s="21"/>
    </row>
    <row r="85" spans="7:15" x14ac:dyDescent="0.2">
      <c r="G85" s="173"/>
      <c r="H85" s="21"/>
      <c r="I85" s="21"/>
      <c r="L85" s="21"/>
      <c r="M85" s="21"/>
      <c r="N85" s="40"/>
      <c r="O85" s="21"/>
    </row>
  </sheetData>
  <printOptions gridLines="1" gridLinesSet="0"/>
  <pageMargins left="0.7" right="0.7" top="0.75" bottom="0.75" header="0.3" footer="0.3"/>
  <pageSetup scale="90" orientation="portrait" horizontalDpi="4294967292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72C-B8BE-412D-A420-F08D2600F04C}">
  <dimension ref="A1:AF87"/>
  <sheetViews>
    <sheetView zoomScaleNormal="100" workbookViewId="0">
      <selection sqref="A1:L54"/>
    </sheetView>
  </sheetViews>
  <sheetFormatPr defaultColWidth="11.7109375" defaultRowHeight="12.75" x14ac:dyDescent="0.2"/>
  <cols>
    <col min="1" max="1" width="10.28515625" style="4" customWidth="1"/>
    <col min="2" max="2" width="7.140625" style="4" bestFit="1" customWidth="1"/>
    <col min="3" max="3" width="7.140625" style="4" customWidth="1"/>
    <col min="4" max="4" width="9.5703125" style="4" customWidth="1"/>
    <col min="5" max="5" width="7" style="4" customWidth="1"/>
    <col min="6" max="7" width="8" style="4" customWidth="1"/>
    <col min="8" max="8" width="8.7109375" style="4" customWidth="1"/>
    <col min="9" max="9" width="4.42578125" style="4" customWidth="1"/>
    <col min="10" max="10" width="8.7109375" style="4" customWidth="1"/>
    <col min="11" max="11" width="4.42578125" style="4" customWidth="1"/>
    <col min="12" max="12" width="9.42578125" style="4" customWidth="1"/>
    <col min="13" max="13" width="4.42578125" style="4" customWidth="1"/>
    <col min="14" max="14" width="9.42578125" style="4" customWidth="1"/>
    <col min="15" max="15" width="9.5703125" style="4" customWidth="1"/>
    <col min="16" max="16" width="4" style="4" customWidth="1"/>
    <col min="17" max="17" width="15.5703125" style="4" customWidth="1"/>
    <col min="18" max="19" width="12.140625" style="4" customWidth="1"/>
    <col min="20" max="21" width="14.42578125" style="4" customWidth="1"/>
    <col min="22" max="22" width="15.5703125" style="4" customWidth="1"/>
    <col min="23" max="24" width="11.7109375" style="4" customWidth="1"/>
    <col min="25" max="26" width="12.140625" style="4" customWidth="1"/>
    <col min="27" max="27" width="13.28515625" style="4" customWidth="1"/>
    <col min="28" max="28" width="14.42578125" style="4" customWidth="1"/>
    <col min="29" max="32" width="12.140625" style="4" customWidth="1"/>
    <col min="33" max="16384" width="11.7109375" style="4"/>
  </cols>
  <sheetData>
    <row r="1" spans="1:32" ht="10.5" customHeight="1" x14ac:dyDescent="0.2">
      <c r="A1" s="106"/>
      <c r="B1" s="173"/>
      <c r="C1" s="173"/>
      <c r="D1" s="68"/>
      <c r="E1" s="173"/>
      <c r="F1" s="68"/>
      <c r="G1" s="68"/>
      <c r="H1" s="194"/>
      <c r="I1" s="19"/>
      <c r="J1" s="35"/>
      <c r="K1" s="19"/>
      <c r="L1" s="194"/>
      <c r="M1" s="19"/>
      <c r="N1" s="40"/>
      <c r="O1" s="21"/>
    </row>
    <row r="2" spans="1:32" ht="10.5" customHeight="1" x14ac:dyDescent="0.2">
      <c r="B2" s="173"/>
      <c r="C2" s="173"/>
      <c r="D2" s="68"/>
      <c r="F2" s="66" t="s">
        <v>110</v>
      </c>
      <c r="G2" s="66"/>
      <c r="K2" s="19"/>
      <c r="N2" s="125"/>
      <c r="O2" s="125"/>
    </row>
    <row r="3" spans="1:32" ht="10.5" customHeight="1" x14ac:dyDescent="0.2">
      <c r="A3" s="2"/>
      <c r="B3" s="12"/>
      <c r="C3" s="191"/>
      <c r="D3" s="54"/>
      <c r="E3" s="54" t="s">
        <v>111</v>
      </c>
      <c r="F3" s="2"/>
      <c r="G3" s="2"/>
      <c r="H3" s="2"/>
      <c r="I3" s="2"/>
      <c r="J3" s="48"/>
      <c r="K3" s="1"/>
      <c r="L3" s="2"/>
      <c r="M3" s="2"/>
      <c r="N3" s="12"/>
      <c r="O3" s="12"/>
    </row>
    <row r="4" spans="1:32" ht="10.5" customHeight="1" x14ac:dyDescent="0.2">
      <c r="A4" s="2"/>
      <c r="B4" s="12"/>
      <c r="C4" s="191"/>
      <c r="D4" s="54"/>
      <c r="E4" s="2"/>
      <c r="F4" s="2"/>
      <c r="G4" s="2"/>
      <c r="H4" s="2"/>
      <c r="I4" s="2"/>
      <c r="J4" s="48"/>
      <c r="K4" s="1"/>
      <c r="L4" s="2"/>
      <c r="M4" s="2"/>
      <c r="N4" s="12"/>
      <c r="O4" s="12"/>
    </row>
    <row r="5" spans="1:32" ht="10.5" customHeight="1" x14ac:dyDescent="0.2">
      <c r="A5" s="2"/>
      <c r="B5" s="2"/>
      <c r="C5" s="2"/>
      <c r="D5" s="12" t="s">
        <v>63</v>
      </c>
      <c r="E5" s="2"/>
      <c r="F5" s="12" t="s">
        <v>63</v>
      </c>
      <c r="G5" s="12" t="s">
        <v>112</v>
      </c>
      <c r="H5" s="12"/>
      <c r="I5" s="2"/>
      <c r="J5" s="48"/>
      <c r="K5" s="1"/>
      <c r="L5" s="2"/>
      <c r="M5" s="2"/>
      <c r="N5" s="12"/>
      <c r="O5" s="12"/>
    </row>
    <row r="6" spans="1:32" ht="10.5" customHeight="1" x14ac:dyDescent="0.2">
      <c r="A6" s="2"/>
      <c r="B6" s="12" t="s">
        <v>90</v>
      </c>
      <c r="C6" s="12" t="s">
        <v>91</v>
      </c>
      <c r="D6" s="12" t="s">
        <v>92</v>
      </c>
      <c r="E6" s="12" t="s">
        <v>63</v>
      </c>
      <c r="F6" s="12" t="s">
        <v>93</v>
      </c>
      <c r="G6" s="12" t="s">
        <v>93</v>
      </c>
      <c r="H6" s="12" t="s">
        <v>46</v>
      </c>
      <c r="I6" s="12"/>
      <c r="J6" s="48"/>
      <c r="K6" s="1"/>
      <c r="L6" s="12" t="s">
        <v>94</v>
      </c>
      <c r="M6" s="12"/>
      <c r="N6" s="85" t="s">
        <v>57</v>
      </c>
      <c r="O6" s="12" t="s">
        <v>12</v>
      </c>
    </row>
    <row r="7" spans="1:32" ht="10.5" customHeight="1" x14ac:dyDescent="0.2">
      <c r="A7" s="2"/>
      <c r="B7" s="12" t="s">
        <v>63</v>
      </c>
      <c r="C7" s="12" t="s">
        <v>95</v>
      </c>
      <c r="D7" s="12" t="s">
        <v>96</v>
      </c>
      <c r="E7" s="12" t="s">
        <v>97</v>
      </c>
      <c r="F7" s="12" t="s">
        <v>98</v>
      </c>
      <c r="G7" s="12" t="s">
        <v>98</v>
      </c>
      <c r="H7" s="85" t="s">
        <v>113</v>
      </c>
      <c r="I7" s="12"/>
      <c r="J7" s="27" t="s">
        <v>2</v>
      </c>
      <c r="K7" s="1"/>
      <c r="L7" s="12" t="s">
        <v>100</v>
      </c>
      <c r="M7" s="12"/>
      <c r="N7" s="85" t="s">
        <v>101</v>
      </c>
      <c r="O7" s="12" t="s">
        <v>102</v>
      </c>
    </row>
    <row r="8" spans="1:32" ht="10.5" customHeight="1" x14ac:dyDescent="0.2">
      <c r="A8" s="2"/>
      <c r="B8" s="85" t="s">
        <v>14</v>
      </c>
      <c r="C8" s="85" t="s">
        <v>14</v>
      </c>
      <c r="D8" s="85" t="s">
        <v>103</v>
      </c>
      <c r="E8" s="12" t="s">
        <v>104</v>
      </c>
      <c r="F8" s="12" t="s">
        <v>50</v>
      </c>
      <c r="G8" s="12" t="s">
        <v>50</v>
      </c>
      <c r="H8" s="12" t="s">
        <v>94</v>
      </c>
      <c r="I8" s="12"/>
      <c r="J8" s="27" t="s">
        <v>46</v>
      </c>
      <c r="K8" s="1"/>
      <c r="L8" s="12" t="s">
        <v>5</v>
      </c>
      <c r="M8" s="12"/>
      <c r="N8" s="85" t="s">
        <v>48</v>
      </c>
      <c r="O8" s="12" t="s">
        <v>46</v>
      </c>
      <c r="P8" s="19"/>
      <c r="W8" s="19"/>
      <c r="Z8" s="173"/>
      <c r="AA8" s="173"/>
      <c r="AB8" s="21"/>
      <c r="AC8" s="40"/>
      <c r="AD8" s="40"/>
      <c r="AE8" s="21"/>
      <c r="AF8" s="40"/>
    </row>
    <row r="9" spans="1:32" ht="10.5" customHeight="1" x14ac:dyDescent="0.2">
      <c r="A9" s="88" t="s">
        <v>13</v>
      </c>
      <c r="B9" s="89" t="s">
        <v>105</v>
      </c>
      <c r="C9" s="89" t="s">
        <v>105</v>
      </c>
      <c r="D9" s="89" t="s">
        <v>14</v>
      </c>
      <c r="E9" s="89" t="s">
        <v>105</v>
      </c>
      <c r="F9" s="210"/>
      <c r="G9" s="210"/>
      <c r="H9" s="16" t="s">
        <v>51</v>
      </c>
      <c r="I9" s="16"/>
      <c r="J9" s="192" t="s">
        <v>58</v>
      </c>
      <c r="K9" s="88"/>
      <c r="L9" s="16" t="s">
        <v>51</v>
      </c>
      <c r="M9" s="16"/>
      <c r="N9" s="89" t="s">
        <v>18</v>
      </c>
      <c r="O9" s="89" t="s">
        <v>58</v>
      </c>
      <c r="W9" s="19"/>
      <c r="Z9" s="173"/>
      <c r="AA9" s="173"/>
      <c r="AB9" s="21"/>
      <c r="AC9" s="40"/>
      <c r="AD9" s="40"/>
      <c r="AE9" s="21"/>
      <c r="AF9" s="40"/>
    </row>
    <row r="10" spans="1:32" ht="10.5" customHeight="1" x14ac:dyDescent="0.2">
      <c r="A10" s="88"/>
      <c r="B10" s="89"/>
      <c r="C10" s="89"/>
      <c r="D10" s="89"/>
      <c r="E10" s="89"/>
      <c r="F10" s="89"/>
      <c r="G10" s="89"/>
      <c r="H10" s="16"/>
      <c r="I10" s="16"/>
      <c r="J10" s="192"/>
      <c r="K10" s="88"/>
      <c r="L10" s="16"/>
      <c r="M10" s="16"/>
      <c r="N10" s="89"/>
      <c r="O10" s="89"/>
    </row>
    <row r="11" spans="1:32" ht="10.5" customHeight="1" x14ac:dyDescent="0.2">
      <c r="A11" s="88"/>
      <c r="B11" s="89"/>
      <c r="C11" s="89"/>
      <c r="D11" s="89"/>
      <c r="E11" s="89"/>
      <c r="H11" s="54" t="s">
        <v>106</v>
      </c>
      <c r="I11" s="16"/>
      <c r="J11" s="192"/>
      <c r="K11" s="88"/>
      <c r="L11" s="16"/>
      <c r="M11" s="16"/>
      <c r="N11" s="89"/>
      <c r="O11" s="89"/>
    </row>
    <row r="12" spans="1:32" ht="10.5" customHeight="1" x14ac:dyDescent="0.2">
      <c r="A12" s="211"/>
      <c r="B12" s="212"/>
      <c r="C12" s="212"/>
      <c r="D12" s="212"/>
      <c r="E12" s="212"/>
      <c r="F12" s="212"/>
      <c r="G12" s="212"/>
      <c r="H12" s="213"/>
      <c r="I12" s="213"/>
      <c r="J12" s="214"/>
      <c r="K12" s="211"/>
      <c r="L12" s="213"/>
      <c r="M12" s="213"/>
      <c r="N12" s="212"/>
      <c r="O12" s="212"/>
    </row>
    <row r="13" spans="1:32" ht="12.6" customHeight="1" x14ac:dyDescent="0.2">
      <c r="A13" s="106">
        <v>2004</v>
      </c>
      <c r="B13" s="173">
        <v>205.6</v>
      </c>
      <c r="C13" s="173">
        <v>14.5</v>
      </c>
      <c r="D13" s="68">
        <v>1.331151832460733</v>
      </c>
      <c r="E13" s="173">
        <v>48.65</v>
      </c>
      <c r="F13" s="68">
        <v>0.23662451361867709</v>
      </c>
      <c r="G13" s="68">
        <v>8.5627157468184875E-2</v>
      </c>
      <c r="H13" s="194">
        <v>752.25</v>
      </c>
      <c r="I13" s="19"/>
      <c r="J13" s="35">
        <v>38525</v>
      </c>
      <c r="K13" s="19"/>
      <c r="L13" s="194">
        <v>548.25</v>
      </c>
      <c r="M13" s="125"/>
      <c r="N13" s="195">
        <f t="shared" ref="N13:N18" si="0">H13/L13</f>
        <v>1.3720930232558139</v>
      </c>
      <c r="O13" s="40">
        <f>N13*L$39</f>
        <v>1470.8837209302326</v>
      </c>
    </row>
    <row r="14" spans="1:32" ht="12.6" customHeight="1" x14ac:dyDescent="0.2">
      <c r="A14" s="99">
        <v>2002</v>
      </c>
      <c r="B14" s="196">
        <v>189.5</v>
      </c>
      <c r="C14" s="196">
        <v>6.1</v>
      </c>
      <c r="D14" s="69">
        <v>1.2698577680525163</v>
      </c>
      <c r="E14" s="196">
        <v>40.762</v>
      </c>
      <c r="F14" s="69">
        <v>0.2151029023746702</v>
      </c>
      <c r="G14" s="69">
        <v>6.3896789681118019E-2</v>
      </c>
      <c r="H14" s="197">
        <v>658</v>
      </c>
      <c r="I14" s="29"/>
      <c r="J14" s="37">
        <v>37761</v>
      </c>
      <c r="K14" s="29"/>
      <c r="L14" s="197">
        <v>567.5</v>
      </c>
      <c r="M14" s="198"/>
      <c r="N14" s="199">
        <f t="shared" si="0"/>
        <v>1.1594713656387665</v>
      </c>
      <c r="O14" s="30">
        <f t="shared" ref="O14:O18" si="1">N14*L$39</f>
        <v>1242.9533039647577</v>
      </c>
    </row>
    <row r="15" spans="1:32" ht="12.6" customHeight="1" x14ac:dyDescent="0.2">
      <c r="A15" s="106">
        <v>2011</v>
      </c>
      <c r="B15" s="173">
        <v>257.8</v>
      </c>
      <c r="C15" s="173">
        <v>1.8</v>
      </c>
      <c r="D15" s="68">
        <v>1.2207858546168959</v>
      </c>
      <c r="E15" s="173">
        <v>52.89</v>
      </c>
      <c r="F15" s="68">
        <v>0.20515903801396426</v>
      </c>
      <c r="G15" s="68">
        <v>5.3598125989237085E-2</v>
      </c>
      <c r="H15" s="194">
        <v>1679.5</v>
      </c>
      <c r="I15" s="19"/>
      <c r="J15" s="35">
        <v>41099</v>
      </c>
      <c r="K15" s="19"/>
      <c r="L15" s="194">
        <v>1246.75</v>
      </c>
      <c r="M15" s="125"/>
      <c r="N15" s="195">
        <f t="shared" si="0"/>
        <v>1.3471024664126729</v>
      </c>
      <c r="O15" s="40">
        <f t="shared" si="1"/>
        <v>1444.0938439943855</v>
      </c>
    </row>
    <row r="16" spans="1:32" ht="12.6" customHeight="1" x14ac:dyDescent="0.2">
      <c r="A16" s="99">
        <v>1994</v>
      </c>
      <c r="B16" s="196">
        <v>131.4</v>
      </c>
      <c r="C16" s="196">
        <v>10.8</v>
      </c>
      <c r="D16" s="69">
        <v>1.2861525704809291</v>
      </c>
      <c r="E16" s="196">
        <v>23.71</v>
      </c>
      <c r="F16" s="69">
        <v>0.180441400304414</v>
      </c>
      <c r="G16" s="69">
        <v>0.13978052506265656</v>
      </c>
      <c r="H16" s="197">
        <v>648.5</v>
      </c>
      <c r="I16" s="29"/>
      <c r="J16" s="37">
        <v>34897</v>
      </c>
      <c r="K16" s="29"/>
      <c r="L16" s="197">
        <v>574</v>
      </c>
      <c r="M16" s="198"/>
      <c r="N16" s="199">
        <f t="shared" si="0"/>
        <v>1.1297909407665505</v>
      </c>
      <c r="O16" s="30">
        <f t="shared" si="1"/>
        <v>1211.1358885017421</v>
      </c>
    </row>
    <row r="17" spans="1:15" ht="12.6" customHeight="1" x14ac:dyDescent="0.2">
      <c r="A17" s="106">
        <v>2001</v>
      </c>
      <c r="B17" s="173">
        <v>182.8</v>
      </c>
      <c r="C17" s="173">
        <v>11.8</v>
      </c>
      <c r="D17" s="68">
        <v>1.2601734104046245</v>
      </c>
      <c r="E17" s="173">
        <v>33.162000000000006</v>
      </c>
      <c r="F17" s="68">
        <v>0.1814113785557987</v>
      </c>
      <c r="G17" s="68">
        <v>7.0811008861622088E-2</v>
      </c>
      <c r="H17" s="194">
        <v>600</v>
      </c>
      <c r="I17" s="19"/>
      <c r="J17" s="35">
        <v>37447</v>
      </c>
      <c r="K17" s="19"/>
      <c r="L17" s="194">
        <v>426.5</v>
      </c>
      <c r="M17" s="125"/>
      <c r="N17" s="195">
        <f t="shared" si="0"/>
        <v>1.4067995310668229</v>
      </c>
      <c r="O17" s="40">
        <f t="shared" si="1"/>
        <v>1508.0890973036342</v>
      </c>
    </row>
    <row r="18" spans="1:15" ht="12.6" customHeight="1" x14ac:dyDescent="0.2">
      <c r="A18" s="99">
        <v>1992</v>
      </c>
      <c r="B18" s="196">
        <v>115.5</v>
      </c>
      <c r="C18" s="196">
        <v>5.9000000000000057</v>
      </c>
      <c r="D18" s="69">
        <v>1.2382299270072996</v>
      </c>
      <c r="E18" s="196">
        <v>20.21</v>
      </c>
      <c r="F18" s="69">
        <v>0.17497835497835498</v>
      </c>
      <c r="G18" s="69">
        <v>0.13380486461679658</v>
      </c>
      <c r="H18" s="197">
        <v>755</v>
      </c>
      <c r="I18" s="29"/>
      <c r="J18" s="37">
        <v>34169</v>
      </c>
      <c r="K18" s="29"/>
      <c r="L18" s="197">
        <v>581.25</v>
      </c>
      <c r="M18" s="198"/>
      <c r="N18" s="199">
        <f t="shared" si="0"/>
        <v>1.2989247311827956</v>
      </c>
      <c r="O18" s="30">
        <f t="shared" si="1"/>
        <v>1392.4473118279568</v>
      </c>
    </row>
    <row r="19" spans="1:15" ht="12.6" customHeight="1" x14ac:dyDescent="0.2">
      <c r="A19" s="106"/>
      <c r="B19" s="173"/>
      <c r="C19" s="173"/>
      <c r="D19" s="68"/>
      <c r="E19" s="173"/>
      <c r="F19" s="68"/>
      <c r="G19" s="68"/>
      <c r="H19" s="21"/>
      <c r="I19" s="21"/>
      <c r="J19" s="147"/>
      <c r="K19" s="215"/>
      <c r="L19" s="21"/>
      <c r="M19" s="21"/>
      <c r="N19" s="195"/>
      <c r="O19" s="40"/>
    </row>
    <row r="20" spans="1:15" ht="12.6" customHeight="1" x14ac:dyDescent="0.2">
      <c r="A20" s="106"/>
      <c r="B20" s="173"/>
      <c r="C20" s="173"/>
      <c r="D20" s="68"/>
      <c r="E20" s="173"/>
      <c r="F20" s="68"/>
      <c r="G20" s="68"/>
      <c r="H20" s="21"/>
      <c r="I20" s="21"/>
      <c r="J20" s="147"/>
      <c r="K20" s="215"/>
      <c r="L20" s="21"/>
      <c r="M20" s="21"/>
      <c r="N20" s="195"/>
      <c r="O20" s="40"/>
    </row>
    <row r="21" spans="1:15" s="5" customFormat="1" ht="12.6" customHeight="1" x14ac:dyDescent="0.2">
      <c r="A21" s="190" t="s">
        <v>22</v>
      </c>
      <c r="B21" s="216"/>
      <c r="C21" s="216"/>
      <c r="D21" s="70"/>
      <c r="E21" s="216"/>
      <c r="F21" s="70">
        <f>MEDIAN(F13:F18)</f>
        <v>0.19328520828488149</v>
      </c>
      <c r="G21" s="70"/>
      <c r="H21" s="51"/>
      <c r="I21" s="51"/>
      <c r="J21" s="202"/>
      <c r="K21" s="217"/>
      <c r="L21" s="51">
        <f>MEDIAN(L13:L18)</f>
        <v>570.75</v>
      </c>
      <c r="M21" s="51"/>
      <c r="N21" s="218">
        <f>MEDIAN(N13:N18)</f>
        <v>1.3230135987977343</v>
      </c>
      <c r="O21" s="203">
        <f>MEDIAN(O13:O18)</f>
        <v>1418.2705779111711</v>
      </c>
    </row>
    <row r="22" spans="1:15" ht="12.6" customHeight="1" x14ac:dyDescent="0.2">
      <c r="A22" s="19"/>
      <c r="H22" s="21"/>
      <c r="I22" s="21"/>
      <c r="J22" s="35"/>
      <c r="K22" s="19"/>
      <c r="L22" s="21"/>
      <c r="M22" s="21"/>
      <c r="N22" s="195"/>
      <c r="O22" s="40"/>
    </row>
    <row r="23" spans="1:15" ht="12.6" customHeight="1" x14ac:dyDescent="0.2">
      <c r="A23" s="88"/>
      <c r="B23" s="89"/>
      <c r="C23" s="89"/>
      <c r="D23" s="89"/>
      <c r="E23" s="89"/>
      <c r="F23" s="54" t="s">
        <v>107</v>
      </c>
      <c r="H23" s="54"/>
      <c r="I23" s="16"/>
      <c r="J23" s="192"/>
      <c r="K23" s="88"/>
      <c r="L23" s="16"/>
      <c r="M23" s="16"/>
      <c r="N23" s="89"/>
      <c r="O23" s="89"/>
    </row>
    <row r="24" spans="1:15" ht="12.6" customHeight="1" x14ac:dyDescent="0.2">
      <c r="A24" s="211"/>
      <c r="B24" s="212"/>
      <c r="C24" s="212"/>
      <c r="D24" s="212"/>
      <c r="E24" s="212"/>
      <c r="F24" s="212"/>
      <c r="G24" s="212"/>
      <c r="H24" s="213"/>
      <c r="I24" s="213"/>
      <c r="J24" s="214"/>
      <c r="K24" s="211"/>
      <c r="L24" s="213"/>
      <c r="M24" s="213"/>
      <c r="N24" s="212"/>
      <c r="O24" s="212"/>
    </row>
    <row r="25" spans="1:15" ht="12.6" customHeight="1" x14ac:dyDescent="0.2">
      <c r="A25" s="106">
        <v>2021</v>
      </c>
      <c r="B25" s="173">
        <v>363.8</v>
      </c>
      <c r="C25" s="173">
        <v>1</v>
      </c>
      <c r="D25" s="68">
        <v>1.27</v>
      </c>
      <c r="E25" s="173">
        <v>98.7</v>
      </c>
      <c r="F25" s="68">
        <v>0.27</v>
      </c>
      <c r="G25" s="68">
        <v>0.06</v>
      </c>
      <c r="H25" s="194">
        <v>1784</v>
      </c>
      <c r="I25" s="19"/>
      <c r="J25" s="35">
        <v>44721</v>
      </c>
      <c r="K25" s="19"/>
      <c r="L25" s="194">
        <v>1371.25</v>
      </c>
      <c r="M25" s="125"/>
      <c r="N25" s="195">
        <f t="shared" ref="N25:N30" si="2">H25/L25</f>
        <v>1.3010027347310849</v>
      </c>
      <c r="O25" s="40">
        <f>N25*L$39</f>
        <v>1394.674931631723</v>
      </c>
    </row>
    <row r="26" spans="1:15" ht="12.6" customHeight="1" x14ac:dyDescent="0.2">
      <c r="A26" s="99">
        <v>2015</v>
      </c>
      <c r="B26" s="196">
        <v>310.60000000000002</v>
      </c>
      <c r="C26" s="196">
        <v>8.9</v>
      </c>
      <c r="D26" s="69">
        <v>1.2863054187192118</v>
      </c>
      <c r="E26" s="196">
        <v>81.079999999999984</v>
      </c>
      <c r="F26" s="69">
        <v>0.26104314230521564</v>
      </c>
      <c r="G26" s="69">
        <v>5.0064296799716031E-2</v>
      </c>
      <c r="H26" s="197">
        <v>1208.5</v>
      </c>
      <c r="I26" s="29"/>
      <c r="J26" s="37">
        <v>42561</v>
      </c>
      <c r="K26" s="29"/>
      <c r="L26" s="197">
        <v>867.75</v>
      </c>
      <c r="M26" s="198"/>
      <c r="N26" s="199">
        <f t="shared" si="2"/>
        <v>1.3926822241428982</v>
      </c>
      <c r="O26" s="30">
        <f t="shared" ref="O26:O30" si="3">N26*L$39</f>
        <v>1492.9553442811869</v>
      </c>
    </row>
    <row r="27" spans="1:15" ht="12.6" customHeight="1" x14ac:dyDescent="0.2">
      <c r="A27" s="106">
        <v>2013</v>
      </c>
      <c r="B27" s="173">
        <v>275.8</v>
      </c>
      <c r="C27" s="173">
        <v>9.6</v>
      </c>
      <c r="D27" s="68">
        <v>1.2685199098422237</v>
      </c>
      <c r="E27" s="173">
        <v>61.879999999999939</v>
      </c>
      <c r="F27" s="68">
        <v>0.22436548223350231</v>
      </c>
      <c r="G27" s="68">
        <v>2.65906037952847E-2</v>
      </c>
      <c r="H27" s="194">
        <v>1536.75</v>
      </c>
      <c r="I27" s="19"/>
      <c r="J27" s="35">
        <v>41781</v>
      </c>
      <c r="K27" s="19"/>
      <c r="L27" s="194">
        <v>1246.75</v>
      </c>
      <c r="M27" s="125"/>
      <c r="N27" s="195">
        <f t="shared" si="2"/>
        <v>1.2326047724082614</v>
      </c>
      <c r="O27" s="40">
        <f t="shared" si="3"/>
        <v>1321.3523160216562</v>
      </c>
    </row>
    <row r="28" spans="1:15" ht="12.6" customHeight="1" x14ac:dyDescent="0.2">
      <c r="A28" s="99">
        <v>2003</v>
      </c>
      <c r="B28" s="196">
        <v>191</v>
      </c>
      <c r="C28" s="196">
        <v>1.8</v>
      </c>
      <c r="D28" s="69">
        <v>1.2105013192612137</v>
      </c>
      <c r="E28" s="196">
        <v>38.39</v>
      </c>
      <c r="F28" s="69">
        <v>0.2009947643979057</v>
      </c>
      <c r="G28" s="69">
        <v>4.4353665874900951E-2</v>
      </c>
      <c r="H28" s="197">
        <v>1064</v>
      </c>
      <c r="I28" s="29"/>
      <c r="J28" s="37">
        <v>38082</v>
      </c>
      <c r="K28" s="29"/>
      <c r="L28" s="197">
        <v>784</v>
      </c>
      <c r="M28" s="198"/>
      <c r="N28" s="199">
        <f t="shared" si="2"/>
        <v>1.3571428571428572</v>
      </c>
      <c r="O28" s="30">
        <f t="shared" si="3"/>
        <v>1454.8571428571429</v>
      </c>
    </row>
    <row r="29" spans="1:15" ht="12.6" customHeight="1" x14ac:dyDescent="0.2">
      <c r="A29" s="106">
        <v>2008</v>
      </c>
      <c r="B29" s="173">
        <v>221.7</v>
      </c>
      <c r="C29" s="173">
        <v>-8.8000000000000007</v>
      </c>
      <c r="D29" s="68">
        <v>1.1532026143790848</v>
      </c>
      <c r="E29" s="173">
        <v>42.96</v>
      </c>
      <c r="F29" s="68">
        <v>0.19377537212449247</v>
      </c>
      <c r="G29" s="68">
        <v>4.519288644568431E-2</v>
      </c>
      <c r="H29" s="194">
        <v>1291.25</v>
      </c>
      <c r="I29" s="19"/>
      <c r="J29" s="35">
        <v>39975</v>
      </c>
      <c r="K29" s="19"/>
      <c r="L29" s="194">
        <v>1000</v>
      </c>
      <c r="M29" s="125"/>
      <c r="N29" s="195">
        <f t="shared" si="2"/>
        <v>1.29125</v>
      </c>
      <c r="O29" s="40">
        <f t="shared" si="3"/>
        <v>1384.22</v>
      </c>
    </row>
    <row r="30" spans="1:15" ht="12.6" customHeight="1" x14ac:dyDescent="0.2">
      <c r="A30" s="99">
        <v>1996</v>
      </c>
      <c r="B30" s="196">
        <v>135.30000000000001</v>
      </c>
      <c r="C30" s="196">
        <v>4.2000000000000171</v>
      </c>
      <c r="D30" s="69">
        <v>1.1419527078565983</v>
      </c>
      <c r="E30" s="196">
        <v>14.41</v>
      </c>
      <c r="F30" s="69">
        <v>0.10650406504065039</v>
      </c>
      <c r="G30" s="69">
        <v>5.3876251536255498E-2</v>
      </c>
      <c r="H30" s="197">
        <v>902</v>
      </c>
      <c r="I30" s="29"/>
      <c r="J30" s="37">
        <v>35557</v>
      </c>
      <c r="K30" s="29"/>
      <c r="L30" s="197">
        <v>697.25</v>
      </c>
      <c r="M30" s="198"/>
      <c r="N30" s="199">
        <f t="shared" si="2"/>
        <v>1.2936536392972391</v>
      </c>
      <c r="O30" s="30">
        <f t="shared" si="3"/>
        <v>1386.7967013266402</v>
      </c>
    </row>
    <row r="31" spans="1:15" ht="12.6" customHeight="1" x14ac:dyDescent="0.2">
      <c r="A31" s="106"/>
      <c r="B31" s="173"/>
      <c r="C31" s="173"/>
      <c r="D31" s="68"/>
      <c r="E31" s="173"/>
      <c r="F31" s="68"/>
      <c r="G31" s="68"/>
      <c r="H31" s="194"/>
      <c r="I31" s="19"/>
      <c r="J31" s="147"/>
      <c r="K31" s="19"/>
      <c r="L31" s="194"/>
      <c r="M31" s="125"/>
      <c r="N31" s="195"/>
      <c r="O31" s="40"/>
    </row>
    <row r="32" spans="1:15" ht="12.6" customHeight="1" x14ac:dyDescent="0.2">
      <c r="A32" s="106"/>
      <c r="B32" s="173"/>
      <c r="C32" s="173"/>
      <c r="D32" s="68"/>
      <c r="E32" s="173"/>
      <c r="F32" s="68"/>
      <c r="G32" s="68"/>
      <c r="H32" s="194"/>
      <c r="I32" s="19"/>
      <c r="J32" s="147"/>
      <c r="K32" s="19"/>
      <c r="L32" s="194"/>
      <c r="M32" s="125"/>
      <c r="N32" s="195"/>
      <c r="O32" s="40"/>
    </row>
    <row r="33" spans="1:15" s="5" customFormat="1" ht="12.6" customHeight="1" x14ac:dyDescent="0.2">
      <c r="A33" s="190" t="s">
        <v>22</v>
      </c>
      <c r="B33" s="216"/>
      <c r="C33" s="216"/>
      <c r="D33" s="70"/>
      <c r="E33" s="216"/>
      <c r="F33" s="70">
        <f>MEDIAN(F25:F30)</f>
        <v>0.21268012331570402</v>
      </c>
      <c r="G33" s="70"/>
      <c r="H33" s="219"/>
      <c r="I33" s="66"/>
      <c r="J33" s="202"/>
      <c r="K33" s="66"/>
      <c r="L33" s="219">
        <f>MEDIAN(L25:L30)</f>
        <v>933.875</v>
      </c>
      <c r="M33" s="220"/>
      <c r="N33" s="218">
        <f>MEDIAN(N25:N30)</f>
        <v>1.297328187014162</v>
      </c>
      <c r="O33" s="203">
        <f>MEDIAN(O25:O30)</f>
        <v>1390.7358164791817</v>
      </c>
    </row>
    <row r="34" spans="1:15" ht="12.6" customHeight="1" x14ac:dyDescent="0.2">
      <c r="A34" s="106"/>
      <c r="B34" s="173"/>
      <c r="C34" s="173"/>
      <c r="D34" s="68"/>
      <c r="E34" s="173"/>
      <c r="F34" s="68"/>
      <c r="G34" s="68"/>
      <c r="H34" s="194"/>
      <c r="I34" s="19"/>
      <c r="J34" s="147"/>
      <c r="K34" s="19"/>
      <c r="L34" s="194"/>
      <c r="M34" s="125"/>
      <c r="N34" s="195"/>
      <c r="O34" s="40"/>
    </row>
    <row r="35" spans="1:15" ht="12.6" customHeight="1" x14ac:dyDescent="0.2">
      <c r="A35" s="19"/>
      <c r="H35" s="54" t="s">
        <v>108</v>
      </c>
      <c r="I35" s="21"/>
      <c r="J35" s="35"/>
      <c r="K35" s="19"/>
      <c r="L35" s="21"/>
      <c r="M35" s="21"/>
      <c r="N35" s="195"/>
      <c r="O35" s="40"/>
    </row>
    <row r="36" spans="1:15" ht="12.6" customHeight="1" x14ac:dyDescent="0.2">
      <c r="A36" s="19"/>
      <c r="H36" s="21"/>
      <c r="I36" s="21"/>
      <c r="J36" s="35"/>
      <c r="K36" s="19"/>
      <c r="L36" s="21"/>
      <c r="M36" s="21"/>
      <c r="N36" s="195"/>
      <c r="O36" s="40"/>
    </row>
    <row r="37" spans="1:15" ht="12.6" customHeight="1" x14ac:dyDescent="0.2">
      <c r="A37" s="99">
        <v>2018</v>
      </c>
      <c r="B37" s="196">
        <v>347.48</v>
      </c>
      <c r="C37" s="196">
        <v>8.4</v>
      </c>
      <c r="D37" s="69">
        <v>1.325</v>
      </c>
      <c r="E37" s="196">
        <v>113.72</v>
      </c>
      <c r="F37" s="69">
        <v>0.32490000000000002</v>
      </c>
      <c r="G37" s="69">
        <v>0.22896990229161418</v>
      </c>
      <c r="H37" s="197">
        <v>957.25</v>
      </c>
      <c r="I37" s="29"/>
      <c r="J37" s="37">
        <v>43497</v>
      </c>
      <c r="K37" s="29"/>
      <c r="L37" s="197">
        <v>937.25</v>
      </c>
      <c r="M37" s="198"/>
      <c r="N37" s="199">
        <f t="shared" ref="N37:N60" si="4">H37/L37</f>
        <v>1.021339023739664</v>
      </c>
      <c r="O37" s="30">
        <f>N37*L$39</f>
        <v>1094.8754334489199</v>
      </c>
    </row>
    <row r="38" spans="1:15" s="5" customFormat="1" ht="12.6" customHeight="1" x14ac:dyDescent="0.2">
      <c r="A38" s="19">
        <v>2024</v>
      </c>
      <c r="B38" s="4">
        <v>413.5</v>
      </c>
      <c r="C38" s="4">
        <v>29.9</v>
      </c>
      <c r="D38" s="68">
        <v>1.405</v>
      </c>
      <c r="E38" s="4">
        <v>123.3</v>
      </c>
      <c r="F38" s="68">
        <v>0.30299999999999999</v>
      </c>
      <c r="G38" s="68">
        <v>7.3999999999999996E-2</v>
      </c>
      <c r="H38" s="21">
        <v>1104.75</v>
      </c>
      <c r="I38" s="21"/>
      <c r="J38" s="35">
        <v>45693</v>
      </c>
      <c r="K38" s="19"/>
      <c r="L38" s="21">
        <v>1037.75</v>
      </c>
      <c r="M38" s="21"/>
      <c r="N38" s="195">
        <f t="shared" si="4"/>
        <v>1.0645627559624187</v>
      </c>
      <c r="O38" s="40">
        <f t="shared" ref="O38:O60" si="5">N38*L$39</f>
        <v>1141.2112743917128</v>
      </c>
    </row>
    <row r="39" spans="1:15" s="5" customFormat="1" ht="12.6" customHeight="1" x14ac:dyDescent="0.2">
      <c r="A39" s="55">
        <v>2025</v>
      </c>
      <c r="B39" s="57">
        <v>424.2</v>
      </c>
      <c r="C39" s="57">
        <v>10.8</v>
      </c>
      <c r="D39" s="71">
        <v>1.33</v>
      </c>
      <c r="E39" s="57">
        <v>125.3</v>
      </c>
      <c r="F39" s="71">
        <v>0.29499999999999998</v>
      </c>
      <c r="G39" s="71">
        <v>8.2000000000000003E-2</v>
      </c>
      <c r="H39" s="59">
        <v>1250.75</v>
      </c>
      <c r="I39" s="59" t="s">
        <v>24</v>
      </c>
      <c r="J39" s="60">
        <v>46093</v>
      </c>
      <c r="K39" s="55"/>
      <c r="L39" s="59">
        <v>1072</v>
      </c>
      <c r="M39" s="59"/>
      <c r="N39" s="207">
        <f t="shared" si="4"/>
        <v>1.1667444029850746</v>
      </c>
      <c r="O39" s="56">
        <f t="shared" si="5"/>
        <v>1250.75</v>
      </c>
    </row>
    <row r="40" spans="1:15" ht="12.6" customHeight="1" x14ac:dyDescent="0.2">
      <c r="A40" s="106" t="s">
        <v>77</v>
      </c>
      <c r="B40" s="173">
        <v>383.6</v>
      </c>
      <c r="C40" s="173">
        <v>17.8</v>
      </c>
      <c r="D40" s="68">
        <v>1.3535999999999999</v>
      </c>
      <c r="E40" s="173">
        <v>112.6</v>
      </c>
      <c r="F40" s="68">
        <v>0.2908</v>
      </c>
      <c r="G40" s="68">
        <v>8.3000000000000004E-2</v>
      </c>
      <c r="H40" s="194">
        <v>1305.25</v>
      </c>
      <c r="I40" s="19"/>
      <c r="J40" s="35">
        <v>45293</v>
      </c>
      <c r="K40" s="19"/>
      <c r="L40" s="194">
        <v>1286.5</v>
      </c>
      <c r="M40" s="125"/>
      <c r="N40" s="195">
        <f t="shared" si="4"/>
        <v>1.0145744267392149</v>
      </c>
      <c r="O40" s="40">
        <f t="shared" si="5"/>
        <v>1087.6237854644385</v>
      </c>
    </row>
    <row r="41" spans="1:15" ht="12.6" customHeight="1" x14ac:dyDescent="0.2">
      <c r="A41" s="99">
        <v>2017</v>
      </c>
      <c r="B41" s="196">
        <v>339.2</v>
      </c>
      <c r="C41" s="196">
        <v>3.7</v>
      </c>
      <c r="D41" s="69">
        <v>1.3111310592459606</v>
      </c>
      <c r="E41" s="196">
        <v>99.02</v>
      </c>
      <c r="F41" s="69">
        <v>0.29142351900972591</v>
      </c>
      <c r="G41" s="69">
        <v>0.10190774615223512</v>
      </c>
      <c r="H41" s="197">
        <v>1090.25</v>
      </c>
      <c r="I41" s="29"/>
      <c r="J41" s="37">
        <v>43161</v>
      </c>
      <c r="K41" s="29"/>
      <c r="L41" s="197">
        <v>986</v>
      </c>
      <c r="M41" s="198"/>
      <c r="N41" s="199">
        <f t="shared" si="4"/>
        <v>1.1057302231237323</v>
      </c>
      <c r="O41" s="30">
        <f t="shared" si="5"/>
        <v>1185.342799188641</v>
      </c>
    </row>
    <row r="42" spans="1:15" ht="12.6" customHeight="1" x14ac:dyDescent="0.2">
      <c r="A42" s="106">
        <v>2016</v>
      </c>
      <c r="B42" s="173">
        <v>339.2</v>
      </c>
      <c r="C42" s="173">
        <v>22.3</v>
      </c>
      <c r="D42" s="68">
        <v>1.3856406954282035</v>
      </c>
      <c r="E42" s="173">
        <v>96.18</v>
      </c>
      <c r="F42" s="68">
        <v>0.2877917414721724</v>
      </c>
      <c r="G42" s="68">
        <v>7.1696687789249022E-2</v>
      </c>
      <c r="H42" s="194">
        <v>1092.5</v>
      </c>
      <c r="I42" s="19"/>
      <c r="J42" s="35">
        <v>42753</v>
      </c>
      <c r="K42" s="19"/>
      <c r="L42" s="194">
        <v>1010.25</v>
      </c>
      <c r="M42" s="125"/>
      <c r="N42" s="195">
        <f t="shared" si="4"/>
        <v>1.0814154912150458</v>
      </c>
      <c r="O42" s="40">
        <f t="shared" si="5"/>
        <v>1159.277406582529</v>
      </c>
    </row>
    <row r="43" spans="1:15" ht="12.6" customHeight="1" x14ac:dyDescent="0.2">
      <c r="A43" s="99">
        <v>2010</v>
      </c>
      <c r="B43" s="196">
        <v>254.5</v>
      </c>
      <c r="C43" s="196">
        <v>9.1999999999999993</v>
      </c>
      <c r="D43" s="69">
        <v>1.3353763883175649</v>
      </c>
      <c r="E43" s="196">
        <v>70.13</v>
      </c>
      <c r="F43" s="69">
        <v>0.27555992141453828</v>
      </c>
      <c r="G43" s="69">
        <v>6.5658758095237899E-2</v>
      </c>
      <c r="H43" s="197">
        <v>1474.5</v>
      </c>
      <c r="I43" s="29"/>
      <c r="J43" s="37">
        <v>40583</v>
      </c>
      <c r="K43" s="29"/>
      <c r="L43" s="197">
        <v>1390.25</v>
      </c>
      <c r="M43" s="198"/>
      <c r="N43" s="199">
        <f t="shared" si="4"/>
        <v>1.0606006114008273</v>
      </c>
      <c r="O43" s="30">
        <f t="shared" si="5"/>
        <v>1136.963855421687</v>
      </c>
    </row>
    <row r="44" spans="1:15" ht="12.6" customHeight="1" x14ac:dyDescent="0.2">
      <c r="A44" s="106">
        <v>2006</v>
      </c>
      <c r="B44" s="173">
        <v>226.7</v>
      </c>
      <c r="C44" s="173">
        <v>11</v>
      </c>
      <c r="D44" s="68">
        <v>1.3437644877144184</v>
      </c>
      <c r="E44" s="173">
        <v>63.15</v>
      </c>
      <c r="F44" s="68">
        <v>0.27856197617997369</v>
      </c>
      <c r="G44" s="68">
        <v>0.18969193263854095</v>
      </c>
      <c r="H44" s="194">
        <v>915</v>
      </c>
      <c r="I44" s="19"/>
      <c r="J44" s="35">
        <v>39276</v>
      </c>
      <c r="K44" s="19"/>
      <c r="L44" s="194">
        <v>720.5</v>
      </c>
      <c r="M44" s="125"/>
      <c r="N44" s="195">
        <f t="shared" si="4"/>
        <v>1.2699514226231783</v>
      </c>
      <c r="O44" s="40">
        <f t="shared" si="5"/>
        <v>1361.3879250520472</v>
      </c>
    </row>
    <row r="45" spans="1:15" s="5" customFormat="1" ht="12.6" customHeight="1" x14ac:dyDescent="0.2">
      <c r="A45" s="99">
        <v>2022</v>
      </c>
      <c r="B45" s="196">
        <v>364.1</v>
      </c>
      <c r="C45" s="196">
        <v>0.16</v>
      </c>
      <c r="D45" s="69">
        <v>1.2979000000000001</v>
      </c>
      <c r="E45" s="196">
        <v>101.9</v>
      </c>
      <c r="F45" s="69">
        <v>0.27989999999999998</v>
      </c>
      <c r="G45" s="69">
        <v>6.2300000000000001E-2</v>
      </c>
      <c r="H45" s="197">
        <v>1616.5</v>
      </c>
      <c r="I45" s="29"/>
      <c r="J45" s="37">
        <v>45110</v>
      </c>
      <c r="K45" s="29"/>
      <c r="L45" s="197">
        <v>1502.75</v>
      </c>
      <c r="M45" s="198"/>
      <c r="N45" s="199">
        <f t="shared" si="4"/>
        <v>1.075694559973382</v>
      </c>
      <c r="O45" s="30">
        <f t="shared" si="5"/>
        <v>1153.1445682914655</v>
      </c>
    </row>
    <row r="46" spans="1:15" ht="12.6" customHeight="1" x14ac:dyDescent="0.2">
      <c r="A46" s="106">
        <v>2020</v>
      </c>
      <c r="B46" s="173">
        <v>361.4</v>
      </c>
      <c r="C46" s="173">
        <v>3</v>
      </c>
      <c r="D46" s="68">
        <v>1.2869999999999999</v>
      </c>
      <c r="E46" s="173">
        <v>100.42</v>
      </c>
      <c r="F46" s="68">
        <v>0.27800000000000002</v>
      </c>
      <c r="G46" s="68">
        <v>5.7000000000000002E-2</v>
      </c>
      <c r="H46" s="194">
        <v>1667.5</v>
      </c>
      <c r="I46" s="19"/>
      <c r="J46" s="35">
        <v>44328</v>
      </c>
      <c r="K46" s="19"/>
      <c r="L46" s="194">
        <v>1303.75</v>
      </c>
      <c r="M46" s="125"/>
      <c r="N46" s="195">
        <f t="shared" si="4"/>
        <v>1.2790028763183126</v>
      </c>
      <c r="O46" s="40">
        <f t="shared" si="5"/>
        <v>1371.091083413231</v>
      </c>
    </row>
    <row r="47" spans="1:15" ht="12.6" customHeight="1" x14ac:dyDescent="0.2">
      <c r="A47" s="99">
        <v>2019</v>
      </c>
      <c r="B47" s="196">
        <v>357.48</v>
      </c>
      <c r="C47" s="196">
        <v>10</v>
      </c>
      <c r="D47" s="69">
        <v>1.306</v>
      </c>
      <c r="E47" s="196">
        <v>96.52</v>
      </c>
      <c r="F47" s="69">
        <v>0.26750000000000002</v>
      </c>
      <c r="G47" s="69">
        <v>0.1322944000708321</v>
      </c>
      <c r="H47" s="197">
        <v>984.25</v>
      </c>
      <c r="I47" s="29"/>
      <c r="J47" s="37">
        <v>43832</v>
      </c>
      <c r="K47" s="29"/>
      <c r="L47" s="197">
        <v>981</v>
      </c>
      <c r="M47" s="198"/>
      <c r="N47" s="199">
        <f t="shared" si="4"/>
        <v>1.0033129459734964</v>
      </c>
      <c r="O47" s="30">
        <f t="shared" si="5"/>
        <v>1075.5514780835881</v>
      </c>
    </row>
    <row r="48" spans="1:15" ht="12.6" customHeight="1" x14ac:dyDescent="0.2">
      <c r="A48" s="106">
        <v>2014</v>
      </c>
      <c r="B48" s="173">
        <v>304.5</v>
      </c>
      <c r="C48" s="173">
        <v>28.7</v>
      </c>
      <c r="D48" s="68">
        <v>1.3840390879478828</v>
      </c>
      <c r="E48" s="173">
        <v>77.910000000000025</v>
      </c>
      <c r="F48" s="68">
        <v>0.25586206896551733</v>
      </c>
      <c r="G48" s="68">
        <v>4.9482724682724785E-2</v>
      </c>
      <c r="H48" s="194">
        <v>1070.75</v>
      </c>
      <c r="I48" s="19"/>
      <c r="J48" s="35">
        <v>42011</v>
      </c>
      <c r="K48" s="19"/>
      <c r="L48" s="194">
        <v>1020.5</v>
      </c>
      <c r="M48" s="125"/>
      <c r="N48" s="195">
        <f t="shared" si="4"/>
        <v>1.0492405683488486</v>
      </c>
      <c r="O48" s="40">
        <f t="shared" si="5"/>
        <v>1124.7858892699658</v>
      </c>
    </row>
    <row r="49" spans="1:15" ht="12.6" customHeight="1" x14ac:dyDescent="0.2">
      <c r="A49" s="99">
        <v>2009</v>
      </c>
      <c r="B49" s="196">
        <v>243.1</v>
      </c>
      <c r="C49" s="196">
        <v>10.5</v>
      </c>
      <c r="D49" s="69">
        <v>1.3686964366260714</v>
      </c>
      <c r="E49" s="196">
        <v>60.34</v>
      </c>
      <c r="F49" s="69">
        <v>0.24821061291649529</v>
      </c>
      <c r="G49" s="69">
        <v>4.4939553969669893E-2</v>
      </c>
      <c r="H49" s="197">
        <v>1082</v>
      </c>
      <c r="I49" s="29"/>
      <c r="J49" s="37">
        <v>40182</v>
      </c>
      <c r="K49" s="29"/>
      <c r="L49" s="197">
        <v>1067</v>
      </c>
      <c r="M49" s="198"/>
      <c r="N49" s="199">
        <f t="shared" si="4"/>
        <v>1.0140581068416119</v>
      </c>
      <c r="O49" s="30">
        <f t="shared" si="5"/>
        <v>1087.070290534208</v>
      </c>
    </row>
    <row r="50" spans="1:15" ht="12.6" customHeight="1" x14ac:dyDescent="0.2">
      <c r="A50" s="106">
        <v>2005</v>
      </c>
      <c r="B50" s="173">
        <v>215.7</v>
      </c>
      <c r="C50" s="173">
        <v>10.199999999999999</v>
      </c>
      <c r="D50" s="68">
        <v>1.3125</v>
      </c>
      <c r="E50" s="173">
        <v>54.15</v>
      </c>
      <c r="F50" s="68">
        <v>0.25104311543810864</v>
      </c>
      <c r="G50" s="68">
        <v>0.15794434104750316</v>
      </c>
      <c r="H50" s="194">
        <v>650</v>
      </c>
      <c r="I50" s="19"/>
      <c r="J50" s="35">
        <v>38721</v>
      </c>
      <c r="K50" s="19"/>
      <c r="L50" s="194">
        <v>646.5</v>
      </c>
      <c r="M50" s="125"/>
      <c r="N50" s="195">
        <f t="shared" si="4"/>
        <v>1.0054137664346481</v>
      </c>
      <c r="O50" s="40">
        <f t="shared" si="5"/>
        <v>1077.8035576179427</v>
      </c>
    </row>
    <row r="51" spans="1:15" ht="12.6" customHeight="1" x14ac:dyDescent="0.2">
      <c r="A51" s="99">
        <v>2007</v>
      </c>
      <c r="B51" s="196">
        <v>229.5</v>
      </c>
      <c r="C51" s="196">
        <v>3.1</v>
      </c>
      <c r="D51" s="69">
        <v>1.2444640494044994</v>
      </c>
      <c r="E51" s="196">
        <v>52.62</v>
      </c>
      <c r="F51" s="69">
        <v>0.22928104575163399</v>
      </c>
      <c r="G51" s="69">
        <v>6.7080319371727773E-2</v>
      </c>
      <c r="H51" s="197">
        <v>1660</v>
      </c>
      <c r="I51" s="29"/>
      <c r="J51" s="37">
        <v>39632</v>
      </c>
      <c r="K51" s="29"/>
      <c r="L51" s="197">
        <v>1272</v>
      </c>
      <c r="M51" s="198"/>
      <c r="N51" s="199">
        <f t="shared" si="4"/>
        <v>1.3050314465408805</v>
      </c>
      <c r="O51" s="30">
        <f t="shared" si="5"/>
        <v>1398.9937106918239</v>
      </c>
    </row>
    <row r="52" spans="1:15" ht="12.6" customHeight="1" x14ac:dyDescent="0.2">
      <c r="A52" s="106">
        <v>2012</v>
      </c>
      <c r="B52" s="173">
        <v>266.2</v>
      </c>
      <c r="C52" s="173">
        <v>9.1</v>
      </c>
      <c r="D52" s="68">
        <v>1.2467804499612101</v>
      </c>
      <c r="E52" s="173">
        <v>55.22</v>
      </c>
      <c r="F52" s="68">
        <v>0.20743801652892552</v>
      </c>
      <c r="G52" s="68">
        <v>4.5475904195467119E-2</v>
      </c>
      <c r="H52" s="194">
        <v>1630</v>
      </c>
      <c r="I52" s="19"/>
      <c r="J52" s="35">
        <v>41464</v>
      </c>
      <c r="K52" s="19"/>
      <c r="L52" s="194">
        <v>1382</v>
      </c>
      <c r="M52" s="125"/>
      <c r="N52" s="195">
        <f t="shared" si="4"/>
        <v>1.1794500723589001</v>
      </c>
      <c r="O52" s="40">
        <f t="shared" si="5"/>
        <v>1264.3704775687409</v>
      </c>
    </row>
    <row r="53" spans="1:15" ht="12.6" customHeight="1" x14ac:dyDescent="0.2">
      <c r="A53" s="99">
        <v>1990</v>
      </c>
      <c r="B53" s="196">
        <v>104.2</v>
      </c>
      <c r="C53" s="196">
        <v>-0.5</v>
      </c>
      <c r="D53" s="69">
        <v>1.1920725883476602</v>
      </c>
      <c r="E53" s="196">
        <v>20.61</v>
      </c>
      <c r="F53" s="69">
        <v>0.19779270633397311</v>
      </c>
      <c r="G53" s="69">
        <v>0.17910934696318859</v>
      </c>
      <c r="H53" s="197">
        <v>623.5</v>
      </c>
      <c r="I53" s="29"/>
      <c r="J53" s="37">
        <v>33305</v>
      </c>
      <c r="K53" s="29"/>
      <c r="L53" s="197">
        <v>594.75</v>
      </c>
      <c r="M53" s="198"/>
      <c r="N53" s="199">
        <f t="shared" si="4"/>
        <v>1.048339638503573</v>
      </c>
      <c r="O53" s="30">
        <f t="shared" si="5"/>
        <v>1123.8200924758303</v>
      </c>
    </row>
    <row r="54" spans="1:15" ht="12.6" customHeight="1" x14ac:dyDescent="0.2">
      <c r="A54" s="106">
        <v>2000</v>
      </c>
      <c r="B54" s="173">
        <v>171.8</v>
      </c>
      <c r="C54" s="173">
        <v>12.5</v>
      </c>
      <c r="D54" s="68">
        <v>1.2781555834378922</v>
      </c>
      <c r="E54" s="173">
        <v>31.938000000000017</v>
      </c>
      <c r="F54" s="68">
        <v>0.1859022118742725</v>
      </c>
      <c r="G54" s="68">
        <v>8.8452467902995879E-2</v>
      </c>
      <c r="H54" s="194">
        <v>528</v>
      </c>
      <c r="I54" s="19"/>
      <c r="J54" s="35">
        <v>37085</v>
      </c>
      <c r="K54" s="19"/>
      <c r="L54" s="194">
        <v>518.25</v>
      </c>
      <c r="M54" s="125"/>
      <c r="N54" s="195">
        <f t="shared" si="4"/>
        <v>1.0188133140376265</v>
      </c>
      <c r="O54" s="40">
        <f t="shared" si="5"/>
        <v>1092.1678726483356</v>
      </c>
    </row>
    <row r="55" spans="1:15" ht="12.6" customHeight="1" x14ac:dyDescent="0.2">
      <c r="A55" s="99">
        <v>1999</v>
      </c>
      <c r="B55" s="196">
        <v>159.4</v>
      </c>
      <c r="C55" s="196">
        <v>1.9000000000000057</v>
      </c>
      <c r="D55" s="69">
        <v>1.1886349206349209</v>
      </c>
      <c r="E55" s="196">
        <v>27.81</v>
      </c>
      <c r="F55" s="69">
        <v>0.17446675031367628</v>
      </c>
      <c r="G55" s="69">
        <v>0.10666310014727547</v>
      </c>
      <c r="H55" s="197">
        <v>582.5</v>
      </c>
      <c r="I55" s="29"/>
      <c r="J55" s="37">
        <v>36649</v>
      </c>
      <c r="K55" s="29"/>
      <c r="L55" s="197">
        <v>479</v>
      </c>
      <c r="M55" s="198"/>
      <c r="N55" s="199">
        <f t="shared" si="4"/>
        <v>1.2160751565762005</v>
      </c>
      <c r="O55" s="30">
        <f t="shared" si="5"/>
        <v>1303.6325678496869</v>
      </c>
    </row>
    <row r="56" spans="1:15" ht="12.6" customHeight="1" x14ac:dyDescent="0.2">
      <c r="A56" s="106">
        <v>1998</v>
      </c>
      <c r="B56" s="173">
        <v>157.5</v>
      </c>
      <c r="C56" s="173">
        <v>10</v>
      </c>
      <c r="D56" s="68">
        <v>1.252949152542373</v>
      </c>
      <c r="E56" s="173">
        <v>27.31</v>
      </c>
      <c r="F56" s="68">
        <v>0.17339682539682538</v>
      </c>
      <c r="G56" s="68">
        <v>0.13409099768875193</v>
      </c>
      <c r="H56" s="194">
        <v>569.5</v>
      </c>
      <c r="I56" s="19"/>
      <c r="J56" s="35">
        <v>36171</v>
      </c>
      <c r="K56" s="19"/>
      <c r="L56" s="194">
        <v>557</v>
      </c>
      <c r="M56" s="125"/>
      <c r="N56" s="195">
        <f t="shared" si="4"/>
        <v>1.0224416517055654</v>
      </c>
      <c r="O56" s="40">
        <f t="shared" si="5"/>
        <v>1096.0574506283663</v>
      </c>
    </row>
    <row r="57" spans="1:15" ht="12.6" customHeight="1" x14ac:dyDescent="0.2">
      <c r="A57" s="99" t="s">
        <v>59</v>
      </c>
      <c r="B57" s="196">
        <v>147.5</v>
      </c>
      <c r="C57" s="196">
        <v>12.2</v>
      </c>
      <c r="D57" s="69">
        <v>1.275018477457502</v>
      </c>
      <c r="E57" s="196">
        <v>25.01</v>
      </c>
      <c r="F57" s="69">
        <v>0.16955932203389831</v>
      </c>
      <c r="G57" s="69">
        <v>7.605656892612335E-2</v>
      </c>
      <c r="H57" s="197">
        <v>703</v>
      </c>
      <c r="I57" s="29"/>
      <c r="J57" s="37">
        <v>35836</v>
      </c>
      <c r="K57" s="29"/>
      <c r="L57" s="197">
        <v>678.75</v>
      </c>
      <c r="M57" s="198"/>
      <c r="N57" s="199">
        <f t="shared" si="4"/>
        <v>1.0357274401473298</v>
      </c>
      <c r="O57" s="30">
        <f t="shared" si="5"/>
        <v>1110.2998158379376</v>
      </c>
    </row>
    <row r="58" spans="1:15" ht="12.6" customHeight="1" x14ac:dyDescent="0.2">
      <c r="A58" s="106">
        <v>1991</v>
      </c>
      <c r="B58" s="173">
        <v>109.6</v>
      </c>
      <c r="C58" s="173">
        <v>5.3999999999999915</v>
      </c>
      <c r="D58" s="68">
        <v>1.2285028790786952</v>
      </c>
      <c r="E58" s="173">
        <v>18.410000000000053</v>
      </c>
      <c r="F58" s="68">
        <v>0.16797445255474502</v>
      </c>
      <c r="G58" s="68">
        <v>0.1362077413032827</v>
      </c>
      <c r="H58" s="194">
        <v>637</v>
      </c>
      <c r="I58" s="19"/>
      <c r="J58" s="35">
        <v>33756</v>
      </c>
      <c r="K58" s="19"/>
      <c r="L58" s="194">
        <v>564.75</v>
      </c>
      <c r="M58" s="125"/>
      <c r="N58" s="195">
        <f t="shared" si="4"/>
        <v>1.1279327135900841</v>
      </c>
      <c r="O58" s="40">
        <f t="shared" si="5"/>
        <v>1209.1438689685701</v>
      </c>
    </row>
    <row r="59" spans="1:15" ht="12.6" customHeight="1" x14ac:dyDescent="0.2">
      <c r="A59" s="99">
        <v>1993</v>
      </c>
      <c r="B59" s="196">
        <v>120.6</v>
      </c>
      <c r="C59" s="196">
        <v>5.0999999999999943</v>
      </c>
      <c r="D59" s="69">
        <v>1.1948917748917753</v>
      </c>
      <c r="E59" s="196">
        <v>17.410000000000053</v>
      </c>
      <c r="F59" s="69">
        <v>0.14436152570480973</v>
      </c>
      <c r="G59" s="69">
        <v>0.10653301786625834</v>
      </c>
      <c r="H59" s="197">
        <v>732.5</v>
      </c>
      <c r="I59" s="29"/>
      <c r="J59" s="37">
        <v>34477</v>
      </c>
      <c r="K59" s="29"/>
      <c r="L59" s="197">
        <v>713.75</v>
      </c>
      <c r="M59" s="198"/>
      <c r="N59" s="199">
        <f t="shared" si="4"/>
        <v>1.0262697022767076</v>
      </c>
      <c r="O59" s="30">
        <f t="shared" si="5"/>
        <v>1100.1611208406305</v>
      </c>
    </row>
    <row r="60" spans="1:15" ht="12.6" customHeight="1" x14ac:dyDescent="0.2">
      <c r="A60" s="106">
        <v>1995</v>
      </c>
      <c r="B60" s="173">
        <v>131.1</v>
      </c>
      <c r="C60" s="173">
        <v>-0.30000000000001137</v>
      </c>
      <c r="D60" s="68">
        <v>1.1309741248097416</v>
      </c>
      <c r="E60" s="173">
        <v>17.510000000000002</v>
      </c>
      <c r="F60" s="68">
        <v>0.13356216628527842</v>
      </c>
      <c r="G60" s="68">
        <v>7.870442173950358E-2</v>
      </c>
      <c r="H60" s="194">
        <v>856</v>
      </c>
      <c r="I60" s="19"/>
      <c r="J60" s="35">
        <v>35258</v>
      </c>
      <c r="K60" s="19"/>
      <c r="L60" s="194">
        <v>762.25</v>
      </c>
      <c r="M60" s="125"/>
      <c r="N60" s="195">
        <f t="shared" si="4"/>
        <v>1.1229911446375862</v>
      </c>
      <c r="O60" s="40">
        <f t="shared" si="5"/>
        <v>1203.8465070514924</v>
      </c>
    </row>
    <row r="62" spans="1:15" x14ac:dyDescent="0.2">
      <c r="A62" s="19"/>
      <c r="D62" s="97"/>
      <c r="F62" s="173"/>
      <c r="G62" s="173"/>
      <c r="H62" s="21"/>
      <c r="I62" s="21"/>
      <c r="J62" s="35"/>
      <c r="K62" s="125"/>
      <c r="L62" s="21"/>
      <c r="M62" s="21"/>
      <c r="N62" s="195"/>
      <c r="O62" s="40"/>
    </row>
    <row r="63" spans="1:15" s="5" customFormat="1" x14ac:dyDescent="0.2">
      <c r="A63" s="190" t="s">
        <v>22</v>
      </c>
      <c r="D63" s="221"/>
      <c r="F63" s="201">
        <f>MEDIAN(F37:F60)</f>
        <v>0.25345259220181299</v>
      </c>
      <c r="G63" s="216"/>
      <c r="H63" s="51"/>
      <c r="I63" s="51"/>
      <c r="J63" s="182"/>
      <c r="K63" s="220"/>
      <c r="L63" s="51">
        <f>MEDIAN(L37:L60)</f>
        <v>983.5</v>
      </c>
      <c r="M63" s="51"/>
      <c r="N63" s="201">
        <f>MEDIAN(N37:N60)</f>
        <v>1.0625816836816231</v>
      </c>
      <c r="O63" s="51">
        <f>MEDIAN(O37:O60)</f>
        <v>1139.0875649066998</v>
      </c>
    </row>
    <row r="64" spans="1:15" x14ac:dyDescent="0.2">
      <c r="D64" s="97"/>
      <c r="F64" s="173"/>
      <c r="G64" s="173"/>
      <c r="H64" s="21"/>
      <c r="I64" s="21"/>
      <c r="J64" s="147"/>
      <c r="L64" s="21"/>
      <c r="M64" s="21"/>
      <c r="N64" s="195"/>
      <c r="O64" s="21"/>
    </row>
    <row r="65" spans="4:14" x14ac:dyDescent="0.2">
      <c r="D65" s="97"/>
      <c r="F65" s="173"/>
      <c r="G65" s="173"/>
      <c r="J65" s="147"/>
      <c r="L65" s="21"/>
      <c r="M65" s="21"/>
      <c r="N65" s="200"/>
    </row>
    <row r="66" spans="4:14" x14ac:dyDescent="0.2">
      <c r="J66" s="147"/>
      <c r="N66" s="200"/>
    </row>
    <row r="67" spans="4:14" x14ac:dyDescent="0.2">
      <c r="J67" s="147"/>
      <c r="N67" s="200"/>
    </row>
    <row r="68" spans="4:14" x14ac:dyDescent="0.2">
      <c r="J68" s="147"/>
      <c r="N68" s="200"/>
    </row>
    <row r="69" spans="4:14" x14ac:dyDescent="0.2">
      <c r="F69" s="173"/>
      <c r="G69" s="173"/>
      <c r="H69" s="21"/>
      <c r="I69" s="21"/>
      <c r="J69" s="147"/>
      <c r="L69" s="21"/>
      <c r="M69" s="21"/>
      <c r="N69" s="195"/>
    </row>
    <row r="70" spans="4:14" x14ac:dyDescent="0.2">
      <c r="F70" s="173"/>
      <c r="G70" s="173"/>
      <c r="H70" s="21"/>
      <c r="I70" s="21"/>
      <c r="J70" s="147"/>
      <c r="L70" s="21"/>
      <c r="M70" s="21"/>
      <c r="N70" s="40"/>
    </row>
    <row r="71" spans="4:14" x14ac:dyDescent="0.2">
      <c r="F71" s="173"/>
      <c r="G71" s="173"/>
      <c r="H71" s="21"/>
      <c r="I71" s="21"/>
      <c r="J71" s="147"/>
      <c r="L71" s="21"/>
      <c r="M71" s="21"/>
      <c r="N71" s="40"/>
    </row>
    <row r="72" spans="4:14" x14ac:dyDescent="0.2">
      <c r="F72" s="173"/>
      <c r="G72" s="173"/>
      <c r="H72" s="21"/>
      <c r="I72" s="21"/>
      <c r="J72" s="147"/>
      <c r="L72" s="21"/>
      <c r="M72" s="21"/>
      <c r="N72" s="40"/>
    </row>
    <row r="73" spans="4:14" x14ac:dyDescent="0.2">
      <c r="F73" s="173"/>
      <c r="G73" s="173"/>
      <c r="H73" s="21"/>
      <c r="I73" s="21"/>
      <c r="J73" s="147"/>
      <c r="L73" s="21"/>
      <c r="M73" s="21"/>
      <c r="N73" s="40"/>
    </row>
    <row r="74" spans="4:14" x14ac:dyDescent="0.2">
      <c r="F74" s="173"/>
      <c r="G74" s="173"/>
      <c r="H74" s="21"/>
      <c r="I74" s="21"/>
      <c r="J74" s="147"/>
      <c r="L74" s="21"/>
      <c r="M74" s="21"/>
      <c r="N74" s="40"/>
    </row>
    <row r="75" spans="4:14" x14ac:dyDescent="0.2">
      <c r="F75" s="173"/>
      <c r="G75" s="173"/>
      <c r="H75" s="21"/>
      <c r="I75" s="21"/>
      <c r="J75" s="147"/>
      <c r="L75" s="21"/>
      <c r="M75" s="21"/>
      <c r="N75" s="40"/>
    </row>
    <row r="76" spans="4:14" x14ac:dyDescent="0.2">
      <c r="F76" s="173"/>
      <c r="G76" s="173"/>
      <c r="J76" s="147"/>
      <c r="L76" s="21"/>
      <c r="M76" s="21"/>
    </row>
    <row r="77" spans="4:14" x14ac:dyDescent="0.2">
      <c r="F77" s="173"/>
      <c r="G77" s="173"/>
      <c r="H77" s="21"/>
      <c r="I77" s="21"/>
      <c r="J77" s="147"/>
      <c r="L77" s="21"/>
      <c r="M77" s="21"/>
      <c r="N77" s="40"/>
    </row>
    <row r="78" spans="4:14" x14ac:dyDescent="0.2">
      <c r="F78" s="173"/>
      <c r="G78" s="173"/>
      <c r="H78" s="21"/>
      <c r="I78" s="21"/>
      <c r="L78" s="21"/>
      <c r="M78" s="21"/>
      <c r="N78" s="40"/>
    </row>
    <row r="79" spans="4:14" x14ac:dyDescent="0.2">
      <c r="F79" s="173"/>
      <c r="G79" s="173"/>
      <c r="H79" s="21"/>
      <c r="I79" s="21"/>
      <c r="L79" s="21"/>
      <c r="M79" s="21"/>
      <c r="N79" s="40"/>
    </row>
    <row r="80" spans="4:14" x14ac:dyDescent="0.2">
      <c r="F80" s="173"/>
      <c r="G80" s="173"/>
      <c r="H80" s="21"/>
      <c r="I80" s="21"/>
      <c r="L80" s="21"/>
      <c r="M80" s="21"/>
      <c r="N80" s="40"/>
    </row>
    <row r="82" spans="6:14" x14ac:dyDescent="0.2">
      <c r="F82" s="173"/>
      <c r="G82" s="173"/>
      <c r="H82" s="21"/>
      <c r="I82" s="21"/>
      <c r="L82" s="21"/>
      <c r="M82" s="21"/>
      <c r="N82" s="40"/>
    </row>
    <row r="83" spans="6:14" x14ac:dyDescent="0.2">
      <c r="F83" s="173"/>
      <c r="G83" s="173"/>
      <c r="H83" s="21"/>
      <c r="I83" s="21"/>
      <c r="L83" s="21"/>
      <c r="M83" s="21"/>
      <c r="N83" s="40"/>
    </row>
    <row r="84" spans="6:14" x14ac:dyDescent="0.2">
      <c r="F84" s="173"/>
      <c r="G84" s="173"/>
      <c r="H84" s="21"/>
      <c r="I84" s="21"/>
      <c r="L84" s="21"/>
      <c r="M84" s="21"/>
      <c r="N84" s="40"/>
    </row>
    <row r="85" spans="6:14" x14ac:dyDescent="0.2">
      <c r="F85" s="173"/>
      <c r="G85" s="173"/>
      <c r="H85" s="21"/>
      <c r="I85" s="21"/>
      <c r="L85" s="21"/>
      <c r="M85" s="21"/>
      <c r="N85" s="40"/>
    </row>
    <row r="86" spans="6:14" x14ac:dyDescent="0.2">
      <c r="F86" s="173"/>
      <c r="G86" s="173"/>
      <c r="H86" s="21"/>
      <c r="I86" s="21"/>
      <c r="L86" s="21"/>
      <c r="M86" s="21"/>
      <c r="N86" s="40"/>
    </row>
    <row r="87" spans="6:14" x14ac:dyDescent="0.2">
      <c r="F87" s="173"/>
      <c r="G87" s="173"/>
      <c r="H87" s="21"/>
      <c r="I87" s="21"/>
      <c r="L87" s="21"/>
      <c r="M87" s="21"/>
      <c r="N87" s="40"/>
    </row>
  </sheetData>
  <printOptions gridLines="1" gridLinesSet="0"/>
  <pageMargins left="0.5" right="0" top="0" bottom="0" header="0.5" footer="0.5"/>
  <pageSetup scale="9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17B8-DA2B-4387-A166-8160B57B66B0}">
  <dimension ref="B2:K11"/>
  <sheetViews>
    <sheetView workbookViewId="0">
      <selection activeCell="E11" sqref="E11"/>
    </sheetView>
  </sheetViews>
  <sheetFormatPr defaultRowHeight="15" x14ac:dyDescent="0.25"/>
  <cols>
    <col min="2" max="3" width="14.28515625" customWidth="1"/>
    <col min="4" max="7" width="14.28515625" style="238" customWidth="1"/>
    <col min="9" max="9" width="16.28515625" customWidth="1"/>
  </cols>
  <sheetData>
    <row r="2" spans="2:11" ht="15.75" x14ac:dyDescent="0.25">
      <c r="B2" s="222"/>
      <c r="C2" s="222"/>
      <c r="D2" s="223"/>
      <c r="E2" s="223"/>
      <c r="F2" s="224"/>
      <c r="G2" s="224"/>
    </row>
    <row r="3" spans="2:11" ht="15.75" x14ac:dyDescent="0.25">
      <c r="B3" s="225" t="s">
        <v>114</v>
      </c>
      <c r="C3" s="225" t="s">
        <v>115</v>
      </c>
      <c r="D3" s="225" t="s">
        <v>116</v>
      </c>
      <c r="E3" s="225" t="s">
        <v>117</v>
      </c>
      <c r="F3" s="226" t="s">
        <v>64</v>
      </c>
      <c r="G3" s="227" t="s">
        <v>118</v>
      </c>
      <c r="I3" s="228" t="s">
        <v>119</v>
      </c>
    </row>
    <row r="4" spans="2:11" ht="15.75" x14ac:dyDescent="0.25">
      <c r="B4" s="229" t="s">
        <v>120</v>
      </c>
      <c r="C4" s="229" t="s">
        <v>6</v>
      </c>
      <c r="D4" s="229" t="s">
        <v>58</v>
      </c>
      <c r="E4" s="230">
        <v>4.7975000000000003</v>
      </c>
      <c r="F4" s="231">
        <v>45707</v>
      </c>
      <c r="G4" s="232" t="s">
        <v>121</v>
      </c>
      <c r="I4" s="233">
        <v>1.0900000000000001</v>
      </c>
      <c r="K4" t="str">
        <f>B4&amp;"*"</f>
        <v>CZ25*</v>
      </c>
    </row>
    <row r="5" spans="2:11" ht="15.75" x14ac:dyDescent="0.25">
      <c r="B5" s="234" t="s">
        <v>120</v>
      </c>
      <c r="C5" s="234" t="s">
        <v>6</v>
      </c>
      <c r="D5" s="234" t="s">
        <v>52</v>
      </c>
      <c r="E5" s="235">
        <v>3.92</v>
      </c>
      <c r="F5" s="236">
        <v>45881</v>
      </c>
      <c r="G5" s="237" t="s">
        <v>121</v>
      </c>
      <c r="I5" s="233">
        <v>0.82</v>
      </c>
      <c r="K5" t="str">
        <f t="shared" ref="K5:K7" si="0">B5&amp;"*"</f>
        <v>CZ25*</v>
      </c>
    </row>
    <row r="6" spans="2:11" ht="15.75" x14ac:dyDescent="0.25">
      <c r="B6" s="229" t="s">
        <v>122</v>
      </c>
      <c r="C6" s="229" t="s">
        <v>68</v>
      </c>
      <c r="D6" s="229" t="s">
        <v>58</v>
      </c>
      <c r="E6" s="230">
        <v>11.387499999999999</v>
      </c>
      <c r="F6" s="231">
        <v>45975</v>
      </c>
      <c r="G6" s="232" t="s">
        <v>121</v>
      </c>
      <c r="I6" s="233">
        <v>1.1100000000000001</v>
      </c>
      <c r="K6" t="str">
        <f t="shared" si="0"/>
        <v>SX25*</v>
      </c>
    </row>
    <row r="7" spans="2:11" ht="15.75" x14ac:dyDescent="0.25">
      <c r="B7" s="234" t="s">
        <v>122</v>
      </c>
      <c r="C7" s="234" t="s">
        <v>68</v>
      </c>
      <c r="D7" s="234" t="s">
        <v>52</v>
      </c>
      <c r="E7" s="235">
        <v>9.7125000000000004</v>
      </c>
      <c r="F7" s="236">
        <v>45756</v>
      </c>
      <c r="G7" s="237" t="s">
        <v>121</v>
      </c>
      <c r="I7" s="233">
        <v>0.89</v>
      </c>
      <c r="K7" t="str">
        <f t="shared" si="0"/>
        <v>SX25*</v>
      </c>
    </row>
    <row r="8" spans="2:11" ht="15.75" x14ac:dyDescent="0.25">
      <c r="B8" s="229" t="s">
        <v>123</v>
      </c>
      <c r="C8" s="229" t="s">
        <v>46</v>
      </c>
      <c r="D8" s="229" t="s">
        <v>58</v>
      </c>
      <c r="E8" s="230">
        <v>4.875</v>
      </c>
      <c r="F8" s="231">
        <v>46090</v>
      </c>
      <c r="G8" s="232" t="s">
        <v>124</v>
      </c>
      <c r="I8" s="233">
        <v>1.1100000000000001</v>
      </c>
    </row>
    <row r="9" spans="2:11" ht="15.75" x14ac:dyDescent="0.25">
      <c r="B9" s="234" t="s">
        <v>123</v>
      </c>
      <c r="C9" s="234" t="s">
        <v>46</v>
      </c>
      <c r="D9" s="234" t="s">
        <v>52</v>
      </c>
      <c r="E9" s="235">
        <v>3.75</v>
      </c>
      <c r="F9" s="236"/>
      <c r="G9" s="237" t="s">
        <v>124</v>
      </c>
      <c r="I9" s="233">
        <v>0.83</v>
      </c>
    </row>
    <row r="10" spans="2:11" ht="15.75" x14ac:dyDescent="0.25">
      <c r="B10" s="229" t="s">
        <v>125</v>
      </c>
      <c r="C10" s="229" t="s">
        <v>46</v>
      </c>
      <c r="D10" s="229" t="s">
        <v>58</v>
      </c>
      <c r="E10" s="230">
        <v>12.5</v>
      </c>
      <c r="F10" s="231"/>
      <c r="G10" s="232" t="s">
        <v>124</v>
      </c>
      <c r="I10" s="233">
        <v>1.07</v>
      </c>
    </row>
    <row r="11" spans="2:11" ht="15.75" x14ac:dyDescent="0.25">
      <c r="B11" s="234" t="s">
        <v>125</v>
      </c>
      <c r="C11" s="234" t="s">
        <v>46</v>
      </c>
      <c r="D11" s="234" t="s">
        <v>52</v>
      </c>
      <c r="E11" s="235">
        <v>9.75</v>
      </c>
      <c r="F11" s="236"/>
      <c r="G11" s="237" t="s">
        <v>124</v>
      </c>
      <c r="I11" s="233">
        <v>0.91</v>
      </c>
    </row>
  </sheetData>
  <mergeCells count="1">
    <mergeCell ref="F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CZ  Low</vt:lpstr>
      <vt:lpstr>CZ High</vt:lpstr>
      <vt:lpstr>CN Low</vt:lpstr>
      <vt:lpstr>CN High</vt:lpstr>
      <vt:lpstr>SX Low</vt:lpstr>
      <vt:lpstr>SX High</vt:lpstr>
      <vt:lpstr>SN Low</vt:lpstr>
      <vt:lpstr>SN High</vt:lpstr>
      <vt:lpstr>HL Price Snapshot</vt:lpstr>
      <vt:lpstr>'SN High'!PCTLOAN2</vt:lpstr>
      <vt:lpstr>'SN Low'!PCTLOAN2</vt:lpstr>
      <vt:lpstr>'CZ  Low'!Print_Area</vt:lpstr>
      <vt:lpstr>'CZ High'!Print_Area</vt:lpstr>
      <vt:lpstr>'SN High'!Print_Area</vt:lpstr>
      <vt:lpstr>'SN Low'!Print_Area</vt:lpstr>
      <vt:lpstr>'SX Low'!Print_Area</vt:lpstr>
      <vt:lpstr>'CZ  Low'!print1</vt:lpstr>
      <vt:lpstr>'SX High'!print1</vt:lpstr>
      <vt:lpstr>'CN High'!print2</vt:lpstr>
      <vt:lpstr>'CN Low'!print2</vt:lpstr>
      <vt:lpstr>'SN High'!webpage</vt:lpstr>
      <vt:lpstr>'SN Low'!webpage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Kolten Postin</dc:creator>
  <cp:lastModifiedBy>Kolten Postin</cp:lastModifiedBy>
  <dcterms:created xsi:type="dcterms:W3CDTF">2026-05-06T17:45:12Z</dcterms:created>
  <dcterms:modified xsi:type="dcterms:W3CDTF">2026-05-07T12:25:08Z</dcterms:modified>
</cp:coreProperties>
</file>